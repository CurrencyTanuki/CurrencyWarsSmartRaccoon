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fefb18c0d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计摘要" sheetId="1" r:id="R6eeacd0427e541ba"/>
    <x:sheet xmlns:r="http://schemas.openxmlformats.org/officeDocument/2006/relationships" name="装备清单" sheetId="2" r:id="R58ea37037cb54ba6"/>
    <x:sheet xmlns:r="http://schemas.openxmlformats.org/officeDocument/2006/relationships" name="重复图标簇" sheetId="3" r:id="R504f53e8edfd4749"/>
    <x:sheet xmlns:r="http://schemas.openxmlformats.org/officeDocument/2006/relationships" name="分类统计" sheetId="4" r:id="Ra28a2dfd846c40c8"/>
    <x:sheet xmlns:r="http://schemas.openxmlformats.org/officeDocument/2006/relationships" name="来源与边界" sheetId="5" r:id="Rd6060309a527477b"/>
    <x:sheet xmlns:r="http://schemas.openxmlformats.org/officeDocument/2006/relationships" name="视觉证据" sheetId="6" r:id="R2182af57984d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name val="Carlito"/>
    </x:font>
    <x:font>
      <x:b/>
      <x:sz val="20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Microsoft YaHei"/>
    </x:font>
    <x:font>
      <x:b/>
      <x:sz val="10"/>
      <x:color rgb="FF0F172A"/>
      <x:name val="Microsoft YaHei"/>
    </x:font>
    <x:font>
      <x:sz val="10"/>
      <x:color rgb="FF0F172A"/>
      <x:name val="Microsoft YaHei"/>
    </x:font>
    <x:font>
      <x:b/>
      <x:sz val="10"/>
      <x:color rgb="FFFFFFFF"/>
      <x:name val="Microsoft YaHei"/>
    </x:font>
    <x:font>
      <x:b/>
      <x:sz val="10"/>
      <x:color rgb="FF16324F"/>
      <x:name val="Microsoft YaHei"/>
    </x:font>
    <x:font>
      <x:b/>
      <x:sz val="10"/>
      <x:color rgb="FF166534"/>
      <x:name val="Microsoft YaHei"/>
    </x:font>
    <x:font>
      <x:b/>
      <x:sz val="10"/>
      <x:color rgb="FF92400E"/>
      <x:name val="Microsoft YaHei"/>
    </x:font>
    <x:font>
      <x:b/>
      <x:sz val="10"/>
      <x:color rgb="FF991B1B"/>
      <x:name val="Microsoft YaHei"/>
    </x:font>
    <x:font>
      <x:b/>
      <x:sz val="11"/>
      <x:color rgb="FF991B1B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/>
    <x:xf numFmtId="0" fontId="5" fillId="0" borderId="1" xfId="0" applyNumberFormat="1" applyFont="1" applyFill="1" applyBorder="1"/>
    <x:xf numFmtId="0" fontId="4" fillId="2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5" fillId="0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0" fontId="7" fillId="4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4" fillId="2" borderId="0" xfId="0" applyNumberFormat="1" applyFont="1" applyFill="1" applyBorder="1"/>
    <x:xf numFmtId="0" fontId="4" fillId="7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c5e66217f4e8b" /><Relationship Type="http://schemas.openxmlformats.org/officeDocument/2006/relationships/theme" Target="/xl/theme/theme1.xml" Id="R4b70c92ca9bb4380" /><Relationship Type="http://schemas.microsoft.com/office/2022/11/relationships/FeaturePropertyBag" Target="/xl/featurePropertyBag/featurePropertyBag.xml" Id="R0309563d6b6c458d" /><Relationship Type="http://schemas.openxmlformats.org/officeDocument/2006/relationships/sharedStrings" Target="/xl/sharedStrings.xml" Id="R4c739829d3b34124" /><Relationship Type="http://schemas.openxmlformats.org/officeDocument/2006/relationships/worksheet" Target="/xl/worksheets/sheet1.xml" Id="R6eeacd0427e541ba" /><Relationship Type="http://schemas.openxmlformats.org/officeDocument/2006/relationships/worksheet" Target="/xl/worksheets/sheet2.xml" Id="R58ea37037cb54ba6" /><Relationship Type="http://schemas.openxmlformats.org/officeDocument/2006/relationships/worksheet" Target="/xl/worksheets/sheet3.xml" Id="R504f53e8edfd4749" /><Relationship Type="http://schemas.openxmlformats.org/officeDocument/2006/relationships/worksheet" Target="/xl/worksheets/sheet4.xml" Id="Ra28a2dfd846c40c8" /><Relationship Type="http://schemas.openxmlformats.org/officeDocument/2006/relationships/worksheet" Target="/xl/worksheets/sheet5.xml" Id="Rd6060309a527477b" /><Relationship Type="http://schemas.openxmlformats.org/officeDocument/2006/relationships/worksheet" Target="/xl/worksheets/sheet6.xml" Id="R2182af57984d44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quipmentAuditTable" displayName="EquipmentAuditTable" ref="A1:AI158" headerRowCount="1" totalsRowCount="0" totalsRowShown="0">
  <x:autoFilter ref="A1:AI158"/>
  <x:tableColumns count="35">
    <x:tableColumn id="1" name="序号"/>
    <x:tableColumn id="2" name="本地ID"/>
    <x:tableColumn id="3" name="中文名称"/>
    <x:tableColumn id="4" name="上游类型"/>
    <x:tableColumn id="5" name="运行分类"/>
    <x:tableColumn id="6" name="可装备"/>
    <x:tableColumn id="7" name="占装备槽"/>
    <x:tableColumn id="8" name="基础装备ID"/>
    <x:tableColumn id="9" name="合成组件ID"/>
    <x:tableColumn id="10" name="图标相对路径"/>
    <x:tableColumn id="11" name="声明SHA256"/>
    <x:tableColumn id="12" name="本地SHA256"/>
    <x:tableColumn id="13" name="交接三方一致"/>
    <x:tableColumn id="14" name="重复簇大小"/>
    <x:tableColumn id="15" name="重复IDs"/>
    <x:tableColumn id="16" name="重复Names"/>
    <x:tableColumn id="17" name="字节"/>
    <x:tableColumn id="18" name="宽"/>
    <x:tableColumn id="19" name="高"/>
    <x:tableColumn id="20" name="图像来源URL"/>
    <x:tableColumn id="21" name="来源页面URL"/>
    <x:tableColumn id="22" name="来源总表修订"/>
    <x:tableColumn id="23" name="远程HTTP"/>
    <x:tableColumn id="24" name="远程SHA256"/>
    <x:tableColumn id="25" name="远程=本地"/>
    <x:tableColumn id="26" name="尺寸一致"/>
    <x:tableColumn id="27" name="单页来源状态"/>
    <x:tableColumn id="28" name="页面标题"/>
    <x:tableColumn id="29" name="视觉联系表"/>
    <x:tableColumn id="30" name="视觉格位"/>
    <x:tableColumn id="31" name="视觉复核"/>
    <x:tableColumn id="32" name="图标身份结论"/>
    <x:tableColumn id="33" name="来源层级"/>
    <x:tableColumn id="34" name="冲突/边界"/>
    <x:tableColumn id="35" name="核对结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plicateIconClustersTable" displayName="DuplicateIconClustersTable" ref="A1:I48" headerRowCount="1" totalsRowCount="0" totalsRowShown="0">
  <x:tableColumns count="9">
    <x:tableColumn id="1" name="簇序号"/>
    <x:tableColumn id="2" name="图标SHA256"/>
    <x:tableColumn id="3" name="成员数"/>
    <x:tableColumn id="4" name="本地IDs"/>
    <x:tableColumn id="5" name="中文名称"/>
    <x:tableColumn id="6" name="运行分类"/>
    <x:tableColumn id="7" name="关系"/>
    <x:tableColumn id="8" name="视觉核对"/>
    <x:tableColumn id="9" name="识别/存储风险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quipmentCategoryTable" displayName="EquipmentCategoryTable" ref="A1:C15" headerRowCount="1" totalsRowCount="0" totalsRowShown="0">
  <x:tableColumns count="3">
    <x:tableColumn id="1" name="运行分类"/>
    <x:tableColumn id="2" name="数量（公式）"/>
    <x:tableColumn id="3" name="占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SourceBoundaryTable" displayName="EquipmentSourceBoundaryTable" ref="A1:E11" headerRowCount="1" totalsRowCount="0" totalsRowShown="0">
  <x:tableColumns count="5">
    <x:tableColumn id="1" name="来源"/>
    <x:tableColumn id="2" name="URL / 本地路径"/>
    <x:tableColumn id="3" name="层级"/>
    <x:tableColumn id="4" name="本轮支持内容"/>
    <x:tableColumn id="5" name="不能支持/限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uipmentVisualEvidenceTable" displayName="EquipmentVisualEvidenceTable" ref="A1:G9" headerRowCount="1" totalsRowCount="0" totalsRowShown="0">
  <x:tableColumns count="7">
    <x:tableColumn id="1" name="页"/>
    <x:tableColumn id="2" name="ID范围"/>
    <x:tableColumn id="3" name="文件"/>
    <x:tableColumn id="4" name="绝对路径"/>
    <x:tableColumn id="5" name="SHA256"/>
    <x:tableColumn id="6" name="逐页核对结果"/>
    <x:tableColumn id="7" name="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0930beaf25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7a21c5ce1549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9bc849d6b640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bb0aa904be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c807b4b10f4e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货币战争装备图标—名称—本地ID—来源专项核对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3" ht="28" customHeight="1">
      <x:c r="A3" s="23"/>
      <x:c r="B3" s="23"/>
      <x:c r="C3" s="23"/>
      <x:c r="D3" s="23"/>
      <x:c r="E3" s="23"/>
      <x:c r="F3" s="23"/>
      <x:c r="G3" s="23"/>
      <x:c r="H3" s="23"/>
    </x:row>
    <x:row r="4" ht="28" customHeight="1">
      <x:c r="A4" s="29" t="str">
        <x:v>指标</x:v>
      </x:c>
      <x:c r="B4" s="29" t="str">
        <x:v>结果</x:v>
      </x:c>
      <x:c r="C4" s="23"/>
      <x:c r="D4" s="23"/>
      <x:c r="E4" s="23"/>
      <x:c r="F4" s="23"/>
      <x:c r="G4" s="23"/>
      <x:c r="H4" s="23"/>
    </x:row>
    <x:row r="5" ht="28" customHeight="1">
      <x:c r="A5" s="25" t="str">
        <x:v>本地装备记录</x:v>
      </x:c>
      <x:c r="B5" s="25" t="n">
        <x:f>COUNTA('装备清单'!B2:B158)</x:f>
        <x:v>157</x:v>
      </x:c>
      <x:c r="C5" s="23"/>
      <x:c r="D5" s="23"/>
      <x:c r="E5" s="23"/>
      <x:c r="F5" s="23"/>
      <x:c r="G5" s="23"/>
      <x:c r="H5" s="23"/>
    </x:row>
    <x:row r="6" ht="28" customHeight="1">
      <x:c r="A6" s="25" t="str">
        <x:v>远程原图与本地逐字节一致</x:v>
      </x:c>
      <x:c r="B6" s="25" t="n">
        <x:f>COUNTIF('装备清单'!Y2:Y158,1)</x:f>
        <x:v>157</x:v>
      </x:c>
      <x:c r="C6" s="23"/>
      <x:c r="D6" s="23"/>
      <x:c r="E6" s="23"/>
      <x:c r="F6" s="23"/>
      <x:c r="G6" s="23"/>
      <x:c r="H6" s="23"/>
    </x:row>
    <x:row r="7" ht="28" customHeight="1">
      <x:c r="A7" s="25" t="str">
        <x:v>交接源代码/程序包/工作副本三方一致</x:v>
      </x:c>
      <x:c r="B7" s="25" t="n">
        <x:f>COUNTIF('装备清单'!M2:M158,1)</x:f>
        <x:v>157</x:v>
      </x:c>
      <x:c r="C7" s="23"/>
      <x:c r="D7" s="23"/>
      <x:c r="E7" s="23"/>
      <x:c r="F7" s="23"/>
      <x:c r="G7" s="23"/>
      <x:c r="H7" s="23"/>
    </x:row>
    <x:row r="8" ht="28" customHeight="1">
      <x:c r="A8" s="25" t="str">
        <x:v>唯一图标哈希</x:v>
      </x:c>
      <x:c r="B8" s="25" t="n">
        <x:f>COUNTA('重复图标簇'!A2:A98)+50</x:f>
        <x:v>97</x:v>
      </x:c>
      <x:c r="C8" s="23"/>
      <x:c r="D8" s="23"/>
      <x:c r="E8" s="23"/>
      <x:c r="F8" s="23"/>
      <x:c r="G8" s="23"/>
      <x:c r="H8" s="23"/>
    </x:row>
    <x:row r="9" ht="28" customHeight="1">
      <x:c r="A9" s="25" t="str">
        <x:v>重复图标簇</x:v>
      </x:c>
      <x:c r="B9" s="25" t="n">
        <x:f>COUNTA('重复图标簇'!A2:A48)</x:f>
        <x:v>47</x:v>
      </x:c>
      <x:c r="C9" s="23"/>
      <x:c r="D9" s="23"/>
      <x:c r="E9" s="23"/>
      <x:c r="F9" s="23"/>
      <x:c r="G9" s="23"/>
      <x:c r="H9" s="23"/>
    </x:row>
    <x:row r="10" ht="28" customHeight="1">
      <x:c r="A10" s="25" t="str">
        <x:v>重复簇成员</x:v>
      </x:c>
      <x:c r="B10" s="25" t="n">
        <x:f>COUNTIF('装备清单'!N2:N158,"&gt;1")</x:f>
        <x:v>107</x:v>
      </x:c>
      <x:c r="C10" s="23"/>
      <x:c r="D10" s="23"/>
      <x:c r="E10" s="23"/>
      <x:c r="F10" s="23"/>
      <x:c r="G10" s="23"/>
      <x:c r="H10" s="23"/>
    </x:row>
    <x:row r="11" ht="28" customHeight="1">
      <x:c r="A11" s="25" t="str">
        <x:v>单条BWIKI详情页实证</x:v>
      </x:c>
      <x:c r="B11" s="25" t="n">
        <x:f>COUNTIF('装备清单'!AA2:AA158,"页面实证通过")</x:f>
        <x:v>9</x:v>
      </x:c>
      <x:c r="C11" s="23"/>
      <x:c r="D11" s="23"/>
      <x:c r="E11" s="23"/>
      <x:c r="F11" s="23"/>
      <x:c r="G11" s="23"/>
      <x:c r="H11" s="23"/>
    </x:row>
    <x:row r="12" ht="28" customHeight="1">
      <x:c r="A12" s="25" t="str">
        <x:v>上游分类冲突候选</x:v>
      </x:c>
      <x:c r="B12" s="25" t="n">
        <x:f>COUNTIF('装备清单'!AI2:AI158,"分类冲突待确认")</x:f>
        <x:v>2</x:v>
      </x:c>
      <x:c r="C12" s="23"/>
      <x:c r="D12" s="23"/>
      <x:c r="E12" s="23"/>
      <x:c r="F12" s="23"/>
      <x:c r="G12" s="23"/>
      <x:c r="H12" s="23"/>
    </x:row>
    <x:row r="13" ht="2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44" customHeight="1">
      <x:c r="A14" s="30" t="str">
        <x:v>结论与强制边界</x:v>
      </x:c>
      <x:c r="B14" s="30"/>
      <x:c r="C14" s="30"/>
      <x:c r="D14" s="30"/>
      <x:c r="E14" s="30"/>
      <x:c r="F14" s="30"/>
      <x:c r="G14" s="30"/>
      <x:c r="H14" s="30"/>
    </x:row>
    <x:row r="15" ht="44" customHeight="1">
      <x:c r="A15" s="31" t="str">
        <x:v>本地资产完整性</x:v>
      </x:c>
      <x:c r="B15" s="28" t="str">
        <x:v>157条记录与157个PNG一一对应；缺失、孤儿、声明哈希不符、重复ID/名称/路径均为0。</x:v>
      </x:c>
      <x:c r="C15" s="28"/>
      <x:c r="D15" s="28"/>
      <x:c r="E15" s="28"/>
      <x:c r="F15" s="28"/>
      <x:c r="G15" s="28"/>
      <x:c r="H15" s="28"/>
    </x:row>
    <x:row r="16" ht="44" customHeight="1">
      <x:c r="A16" s="31" t="str">
        <x:v>远程图标</x:v>
      </x:c>
      <x:c r="B16" s="28" t="str">
        <x:v>157/157 PatchWiki图片HTTP 200，远程字节SHA与本地完全一致；这证明图标来源一致，不证明名称由官方逐项确认。</x:v>
      </x:c>
      <x:c r="C16" s="28"/>
      <x:c r="D16" s="28"/>
      <x:c r="E16" s="28"/>
      <x:c r="F16" s="28"/>
      <x:c r="G16" s="28"/>
      <x:c r="H16" s="28"/>
    </x:row>
    <x:row r="17" ht="44" customHeight="1">
      <x:c r="A17" s="31" t="str">
        <x:v>视觉复核</x:v>
      </x:c>
      <x:c r="B17" s="28" t="str">
        <x:v>8页联系表逐项检查；未见空白、透明损坏、异常裁切、相邻错位。抽象徽标/幻想专名仅凭画面不能证明官方名称。</x:v>
      </x:c>
      <x:c r="C17" s="28"/>
      <x:c r="D17" s="28"/>
      <x:c r="E17" s="28"/>
      <x:c r="F17" s="28"/>
      <x:c r="G17" s="28"/>
      <x:c r="H17" s="28"/>
    </x:row>
    <x:row r="18" ht="44" customHeight="1">
      <x:c r="A18" s="31" t="str">
        <x:v>重复图标</x:v>
      </x:c>
      <x:c r="B18" s="28" t="str">
        <x:v>47簇覆盖107条，均为同一名称核心的普通/特权、命运改件、骇客改件或白昼羁绊变体；识别时不得强制落到单一ID。</x:v>
      </x:c>
      <x:c r="C18" s="28"/>
      <x:c r="D18" s="28"/>
      <x:c r="E18" s="28"/>
      <x:c r="F18" s="28"/>
      <x:c r="G18" s="28"/>
      <x:c r="H18" s="28"/>
    </x:row>
    <x:row r="19" ht="44" customHeight="1">
      <x:c r="A19" s="31" t="str">
        <x:v>来源边界</x:v>
      </x:c>
      <x:c r="B19" s="28" t="str">
        <x:v>BWIKI为社区资料；revision 99085是总表修订号，不是157个详情页各自修订号。本轮单页抓取受反爬限制，仅9条获得独立页面实证。</x:v>
      </x:c>
      <x:c r="C19" s="28"/>
      <x:c r="D19" s="28"/>
      <x:c r="E19" s="28"/>
      <x:c r="F19" s="28"/>
      <x:c r="G19" s="28"/>
      <x:c r="H19" s="28"/>
    </x:row>
    <x:row r="20" ht="44" customHeight="1">
      <x:c r="A20" s="31" t="str">
        <x:v>来源覆盖冲突</x:v>
      </x:c>
      <x:c r="B20" s="28" t="str">
        <x:v>固定修订99085实际159行/158个唯一名称；本地采用其中156个名称，排除财富×2与专家邀请函×1，另补入星徽秘典。官方公告支持专家邀请函属于战利品；但财富×2在BWIKI与Fandom都存在，是否为过渡资产仍未验证。</x:v>
      </x:c>
      <x:c r="C20" s="28"/>
      <x:c r="D20" s="28"/>
      <x:c r="E20" s="28"/>
      <x:c r="F20" s="28"/>
      <x:c r="G20" s="28"/>
      <x:c r="H20" s="28"/>
    </x:row>
  </x:sheetData>
  <x:mergeCells>
    <x:mergeCell ref="A1:H2"/>
    <x:mergeCell ref="B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22" hidden="0" customWidth="1"/>
    <x:col min="4" max="4" width="16" hidden="0" customWidth="1"/>
    <x:col min="5" max="5" width="16" hidden="0" customWidth="1"/>
    <x:col min="6" max="6" width="10" hidden="0" customWidth="1"/>
    <x:col min="7" max="7" width="10" hidden="0" customWidth="1"/>
    <x:col min="8" max="8" width="28" hidden="0" customWidth="1"/>
    <x:col min="9" max="9" width="28" hidden="0" customWidth="1"/>
    <x:col min="10" max="10" width="52" hidden="0" customWidth="1"/>
    <x:col min="11" max="11" width="34" hidden="0" customWidth="1"/>
    <x:col min="12" max="12" width="34" hidden="0" customWidth="1"/>
    <x:col min="13" max="13" width="12" hidden="0" customWidth="1"/>
    <x:col min="14" max="14" width="12" hidden="0" customWidth="1"/>
    <x:col min="15" max="15" width="46" hidden="0" customWidth="1"/>
    <x:col min="16" max="16" width="46" hidden="0" customWidth="1"/>
    <x:col min="17" max="17" width="9" hidden="0" customWidth="1"/>
    <x:col min="18" max="18" width="9" hidden="0" customWidth="1"/>
    <x:col min="19" max="19" width="9" hidden="0" customWidth="1"/>
    <x:col min="20" max="20" width="58" hidden="0" customWidth="1"/>
    <x:col min="21" max="21" width="58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28" hidden="0" customWidth="1"/>
    <x:col min="28" max="28" width="28" hidden="0" customWidth="1"/>
    <x:col min="29" max="29" width="18" hidden="0" customWidth="1"/>
    <x:col min="30" max="30" width="18" hidden="0" customWidth="1"/>
    <x:col min="31" max="31" width="42" hidden="0" customWidth="1"/>
    <x:col min="32" max="32" width="42" hidden="0" customWidth="1"/>
    <x:col min="33" max="33" width="42" hidden="0" customWidth="1"/>
    <x:col min="34" max="34" width="42" hidden="0" customWidth="1"/>
    <x:col min="35" max="35" width="28" hidden="0" customWidth="1"/>
  </x:cols>
  <x:sheetData>
    <x:row r="1">
      <x:c r="A1" s="35" t="str">
        <x:v>序号</x:v>
      </x:c>
      <x:c r="B1" s="35" t="str">
        <x:v>本地ID</x:v>
      </x:c>
      <x:c r="C1" s="35" t="str">
        <x:v>中文名称</x:v>
      </x:c>
      <x:c r="D1" s="35" t="str">
        <x:v>上游类型</x:v>
      </x:c>
      <x:c r="E1" s="35" t="str">
        <x:v>运行分类</x:v>
      </x:c>
      <x:c r="F1" s="35" t="str">
        <x:v>可装备</x:v>
      </x:c>
      <x:c r="G1" s="35" t="str">
        <x:v>占装备槽</x:v>
      </x:c>
      <x:c r="H1" s="35" t="str">
        <x:v>基础装备ID</x:v>
      </x:c>
      <x:c r="I1" s="35" t="str">
        <x:v>合成组件ID</x:v>
      </x:c>
      <x:c r="J1" s="35" t="str">
        <x:v>图标相对路径</x:v>
      </x:c>
      <x:c r="K1" s="35" t="str">
        <x:v>声明SHA256</x:v>
      </x:c>
      <x:c r="L1" s="35" t="str">
        <x:v>本地SHA256</x:v>
      </x:c>
      <x:c r="M1" s="35" t="str">
        <x:v>交接三方一致</x:v>
      </x:c>
      <x:c r="N1" s="35" t="str">
        <x:v>重复簇大小</x:v>
      </x:c>
      <x:c r="O1" s="35" t="str">
        <x:v>重复IDs</x:v>
      </x:c>
      <x:c r="P1" s="35" t="str">
        <x:v>重复Names</x:v>
      </x:c>
      <x:c r="Q1" s="35" t="str">
        <x:v>字节</x:v>
      </x:c>
      <x:c r="R1" s="35" t="str">
        <x:v>宽</x:v>
      </x:c>
      <x:c r="S1" s="35" t="str">
        <x:v>高</x:v>
      </x:c>
      <x:c r="T1" s="35" t="str">
        <x:v>图像来源URL</x:v>
      </x:c>
      <x:c r="U1" s="35" t="str">
        <x:v>来源页面URL</x:v>
      </x:c>
      <x:c r="V1" s="35" t="str">
        <x:v>来源总表修订</x:v>
      </x:c>
      <x:c r="W1" s="35" t="str">
        <x:v>远程HTTP</x:v>
      </x:c>
      <x:c r="X1" s="35" t="str">
        <x:v>远程SHA256</x:v>
      </x:c>
      <x:c r="Y1" s="35" t="str">
        <x:v>远程=本地</x:v>
      </x:c>
      <x:c r="Z1" s="35" t="str">
        <x:v>尺寸一致</x:v>
      </x:c>
      <x:c r="AA1" s="35" t="str">
        <x:v>单页来源状态</x:v>
      </x:c>
      <x:c r="AB1" s="35" t="str">
        <x:v>页面标题</x:v>
      </x:c>
      <x:c r="AC1" s="35" t="str">
        <x:v>视觉联系表</x:v>
      </x:c>
      <x:c r="AD1" s="35" t="str">
        <x:v>视觉格位</x:v>
      </x:c>
      <x:c r="AE1" s="35" t="str">
        <x:v>视觉复核</x:v>
      </x:c>
      <x:c r="AF1" s="35" t="str">
        <x:v>图标身份结论</x:v>
      </x:c>
      <x:c r="AG1" s="35" t="str">
        <x:v>来源层级</x:v>
      </x:c>
      <x:c r="AH1" s="35" t="str">
        <x:v>冲突/边界</x:v>
      </x:c>
      <x:c r="AI1" s="35" t="str">
        <x:v>核对结果</x:v>
      </x:c>
    </x:row>
    <x:row r="2" ht="38" customHeight="1">
      <x:c r="A2" s="35" t="n">
        <x:v>1</x:v>
      </x:c>
      <x:c r="B2" s="35" t="str">
        <x:v>currency_wars_equipment_001</x:v>
      </x:c>
      <x:c r="C2" s="35" t="str">
        <x:v>命运圣杯星徽</x:v>
      </x:c>
      <x:c r="D2" s="35" t="str">
        <x:v>阵营星徽</x:v>
      </x:c>
      <x:c r="E2" s="35" t="str">
        <x:v>faction_emblem</x:v>
      </x:c>
      <x:c r="F2" s="35" t="str">
        <x:v>是</x:v>
      </x:c>
      <x:c r="G2" s="35" t="str">
        <x:v>是</x:v>
      </x:c>
      <x:c r="H2" s="35" t="str"/>
      <x:c r="I2" s="35" t="str"/>
      <x:c r="J2" s="35" t="str">
        <x:v>assets/currency_wars_equipment_icons/currency_wars_equipment_001.png</x:v>
      </x:c>
      <x:c r="K2" s="35" t="str">
        <x:v>501478d2b05cfdb8b55ff859d64f074347885803bb1a6d62cf79a2463e536dd0</x:v>
      </x:c>
      <x:c r="L2" s="35" t="str">
        <x:v>501478d2b05cfdb8b55ff859d64f074347885803bb1a6d62cf79a2463e536dd0</x:v>
      </x:c>
      <x:c r="M2" s="36" t="b">
        <x:v>1</x:v>
      </x:c>
      <x:c r="N2" s="35" t="n">
        <x:f>COUNTIF($L$2:$L$158,L2)</x:f>
        <x:v>1</x:v>
      </x:c>
      <x:c r="O2" s="35" t="str">
        <x:v>001</x:v>
      </x:c>
      <x:c r="P2" s="35" t="str">
        <x:v>命运圣杯星徽</x:v>
      </x:c>
      <x:c r="Q2" s="35" t="n">
        <x:v>27950</x:v>
      </x:c>
      <x:c r="R2" s="35" t="n">
        <x:v>128</x:v>
      </x:c>
      <x:c r="S2" s="35" t="n">
        <x:v>128</x:v>
      </x:c>
      <x:c r="T2" s="35" t="str">
        <x:v>https://patchwiki.biligame.com/images/sr/3/32/mt2jp8xagpnmlqvtk4v20pql8zpbdp1.png</x:v>
      </x:c>
      <x:c r="U2" s="35" t="str">
        <x:v>https://wiki.biligame.com/sr/%E5%91%BD%E8%BF%90%E5%9C%A3%E6%9D%AF%E6%98%9F%E5%BE%BD</x:v>
      </x:c>
      <x:c r="V2" s="35" t="n">
        <x:v>99085</x:v>
      </x:c>
      <x:c r="W2" s="35" t="n">
        <x:v>200</x:v>
      </x:c>
      <x:c r="X2" s="35" t="str">
        <x:v>501478d2b05cfdb8b55ff859d64f074347885803bb1a6d62cf79a2463e536dd0</x:v>
      </x:c>
      <x:c r="Y2" s="36" t="b">
        <x:v>1</x:v>
      </x:c>
      <x:c r="Z2" s="36" t="b">
        <x:v>1</x:v>
      </x:c>
      <x:c r="AA2" s="35" t="str">
        <x:v>HTTP 567（限流/反爬）</x:v>
      </x:c>
      <x:c r="AB2" s="35" t="str"/>
      <x:c r="AC2" s="35" t="str">
        <x:v>equipment-contact-01.png</x:v>
      </x:c>
      <x:c r="AD2" s="35" t="str">
        <x:v>第1行第1列</x:v>
      </x:c>
      <x:c r="AE2" s="35" t="str">
        <x:v>逐项可见；未见空白、破损、异常裁切或相邻错位</x:v>
      </x:c>
      <x:c r="AF2" s="35" t="str">
        <x:v>本地哈希唯一；未发现图标与名称错位</x:v>
      </x:c>
      <x:c r="AG2" s="35" t="str">
        <x:v>BWIKI oldid=99085+PatchWiki；米游社官方V4.4直接支持中文名/效果（不提供单项图标）</x:v>
      </x:c>
      <x:c r="AH2" s="35" t="str">
        <x:v>单条详情页本轮受限流/反爬影响，未获得独立页面实证</x:v>
      </x:c>
      <x:c r="AI2" s="38" t="str">
        <x:f>IF(OR(K2&lt;&gt;L2,M2&lt;&gt;TRUE,Y2&lt;&gt;TRUE,Z2&lt;&gt;TRUE),"冲突",IF(OR(D2="？",D2="？？？"),"分类冲突待确认",IF(N2&gt;1,"图标一致；具体ID不唯一","图标/名称/来源无已发现冲突")))</x:f>
        <x:v>图标/名称/来源无已发现冲突</x:v>
      </x:c>
    </x:row>
    <x:row r="3" ht="38" customHeight="1">
      <x:c r="A3" s="35" t="n">
        <x:v>2</x:v>
      </x:c>
      <x:c r="B3" s="35" t="str">
        <x:v>currency_wars_equipment_002</x:v>
      </x:c>
      <x:c r="C3" s="35" t="str">
        <x:v>分裂•圣杯</x:v>
      </x:c>
      <x:c r="D3" s="35" t="str">
        <x:v>命运改件</x:v>
      </x:c>
      <x:c r="E3" s="35" t="str">
        <x:v>fate_component</x:v>
      </x:c>
      <x:c r="F3" s="35" t="str">
        <x:v>是</x:v>
      </x:c>
      <x:c r="G3" s="35" t="str">
        <x:v>是</x:v>
      </x:c>
      <x:c r="H3" s="35" t="str"/>
      <x:c r="I3" s="35" t="str"/>
      <x:c r="J3" s="35" t="str">
        <x:v>assets/currency_wars_equipment_icons/currency_wars_equipment_002.png</x:v>
      </x:c>
      <x:c r="K3" s="35" t="str">
        <x:v>9c8bafb41cc081b61811196ad180dce749b04c54725fde5d09a3ab0766741780</x:v>
      </x:c>
      <x:c r="L3" s="35" t="str">
        <x:v>9c8bafb41cc081b61811196ad180dce749b04c54725fde5d09a3ab0766741780</x:v>
      </x:c>
      <x:c r="M3" s="36" t="b">
        <x:v>1</x:v>
      </x:c>
      <x:c r="N3" s="39" t="n">
        <x:f>COUNTIF($L$2:$L$158,L3)</x:f>
        <x:v>3</x:v>
      </x:c>
      <x:c r="O3" s="39" t="str">
        <x:v>002；003；013</x:v>
      </x:c>
      <x:c r="P3" s="39" t="str">
        <x:v>分裂•圣杯；圣杯；诅咒•圣杯</x:v>
      </x:c>
      <x:c r="Q3" s="35" t="n">
        <x:v>33508</x:v>
      </x:c>
      <x:c r="R3" s="35" t="n">
        <x:v>128</x:v>
      </x:c>
      <x:c r="S3" s="35" t="n">
        <x:v>128</x:v>
      </x:c>
      <x:c r="T3" s="35" t="str">
        <x:v>https://patchwiki.biligame.com/images/sr/9/9e/a898nbnuv6ywty7ktmu4wepm8nkdqep.png</x:v>
      </x:c>
      <x:c r="U3" s="35" t="str">
        <x:v>https://wiki.biligame.com/sr/%E5%88%86%E8%A3%82%E2%80%A2%E5%9C%A3%E6%9D%AF</x:v>
      </x:c>
      <x:c r="V3" s="35" t="n">
        <x:v>99085</x:v>
      </x:c>
      <x:c r="W3" s="35" t="n">
        <x:v>200</x:v>
      </x:c>
      <x:c r="X3" s="35" t="str">
        <x:v>9c8bafb41cc081b61811196ad180dce749b04c54725fde5d09a3ab0766741780</x:v>
      </x:c>
      <x:c r="Y3" s="36" t="b">
        <x:v>1</x:v>
      </x:c>
      <x:c r="Z3" s="36" t="b">
        <x:v>1</x:v>
      </x:c>
      <x:c r="AA3" s="35" t="str">
        <x:v>HTTP 567（限流/反爬）</x:v>
      </x:c>
      <x:c r="AB3" s="35" t="str"/>
      <x:c r="AC3" s="35" t="str">
        <x:v>equipment-contact-01.png</x:v>
      </x:c>
      <x:c r="AD3" s="35" t="str">
        <x:v>第1行第2列</x:v>
      </x:c>
      <x:c r="AE3" s="35" t="str">
        <x:v>逐项可见；未见空白、破损、异常裁切或相邻错位</x:v>
      </x:c>
      <x:c r="AF3" s="35" t="str">
        <x:v>同图多ID；识别时必须保留CandidateIds/Unknown，不得强收敛</x:v>
      </x:c>
      <x:c r="AG3" s="35" t="str">
        <x:v>BWIKI oldid=99085+PatchWiki；米游社官方资料仅提供玩法或少量条目补充</x:v>
      </x:c>
      <x:c r="AH3" s="35" t="str">
        <x:v>仅凭图标无法区分本簇具体ID</x:v>
      </x:c>
      <x:c r="AI3" s="40" t="str">
        <x:f>IF(OR(K3&lt;&gt;L3,M3&lt;&gt;TRUE,Y3&lt;&gt;TRUE,Z3&lt;&gt;TRUE),"冲突",IF(OR(D3="？",D3="？？？"),"分类冲突待确认",IF(N3&gt;1,"图标一致；具体ID不唯一","图标/名称/来源无已发现冲突")))</x:f>
        <x:v>图标一致；具体ID不唯一</x:v>
      </x:c>
    </x:row>
    <x:row r="4" ht="38" customHeight="1">
      <x:c r="A4" s="35" t="n">
        <x:v>3</x:v>
      </x:c>
      <x:c r="B4" s="35" t="str">
        <x:v>currency_wars_equipment_003</x:v>
      </x:c>
      <x:c r="C4" s="35" t="str">
        <x:v>圣杯</x:v>
      </x:c>
      <x:c r="D4" s="35" t="str">
        <x:v>命运改件</x:v>
      </x:c>
      <x:c r="E4" s="35" t="str">
        <x:v>fate_component</x:v>
      </x:c>
      <x:c r="F4" s="35" t="str">
        <x:v>是</x:v>
      </x:c>
      <x:c r="G4" s="35" t="str">
        <x:v>是</x:v>
      </x:c>
      <x:c r="H4" s="35" t="str"/>
      <x:c r="I4" s="35" t="str"/>
      <x:c r="J4" s="35" t="str">
        <x:v>assets/currency_wars_equipment_icons/currency_wars_equipment_003.png</x:v>
      </x:c>
      <x:c r="K4" s="35" t="str">
        <x:v>9c8bafb41cc081b61811196ad180dce749b04c54725fde5d09a3ab0766741780</x:v>
      </x:c>
      <x:c r="L4" s="35" t="str">
        <x:v>9c8bafb41cc081b61811196ad180dce749b04c54725fde5d09a3ab0766741780</x:v>
      </x:c>
      <x:c r="M4" s="36" t="b">
        <x:v>1</x:v>
      </x:c>
      <x:c r="N4" s="39" t="n">
        <x:f>COUNTIF($L$2:$L$158,L4)</x:f>
        <x:v>3</x:v>
      </x:c>
      <x:c r="O4" s="39" t="str">
        <x:v>002；003；013</x:v>
      </x:c>
      <x:c r="P4" s="39" t="str">
        <x:v>分裂•圣杯；圣杯；诅咒•圣杯</x:v>
      </x:c>
      <x:c r="Q4" s="35" t="n">
        <x:v>33508</x:v>
      </x:c>
      <x:c r="R4" s="35" t="n">
        <x:v>128</x:v>
      </x:c>
      <x:c r="S4" s="35" t="n">
        <x:v>128</x:v>
      </x:c>
      <x:c r="T4" s="35" t="str">
        <x:v>https://patchwiki.biligame.com/images/sr/6/62/a898nbnuv6ywty7ktmu4wepm8nkdqep.png</x:v>
      </x:c>
      <x:c r="U4" s="35" t="str">
        <x:v>https://wiki.biligame.com/sr/%E5%9C%A3%E6%9D%AF</x:v>
      </x:c>
      <x:c r="V4" s="35" t="n">
        <x:v>99085</x:v>
      </x:c>
      <x:c r="W4" s="35" t="n">
        <x:v>200</x:v>
      </x:c>
      <x:c r="X4" s="35" t="str">
        <x:v>9c8bafb41cc081b61811196ad180dce749b04c54725fde5d09a3ab0766741780</x:v>
      </x:c>
      <x:c r="Y4" s="36" t="b">
        <x:v>1</x:v>
      </x:c>
      <x:c r="Z4" s="36" t="b">
        <x:v>1</x:v>
      </x:c>
      <x:c r="AA4" s="35" t="str">
        <x:v>页面实证通过</x:v>
      </x:c>
      <x:c r="AB4" s="35" t="str">
        <x:v>圣杯 - 崩坏：星穹铁道WIKI_BWIKI_哔哩哔哩</x:v>
      </x:c>
      <x:c r="AC4" s="35" t="str">
        <x:v>equipment-contact-01.png</x:v>
      </x:c>
      <x:c r="AD4" s="35" t="str">
        <x:v>第1行第3列</x:v>
      </x:c>
      <x:c r="AE4" s="35" t="str">
        <x:v>逐项可见；未见空白、破损、异常裁切或相邻错位</x:v>
      </x:c>
      <x:c r="AF4" s="35" t="str">
        <x:v>同图多ID；识别时必须保留CandidateIds/Unknown，不得强收敛</x:v>
      </x:c>
      <x:c r="AG4" s="35" t="str">
        <x:v>BWIKI oldid=99085+PatchWiki；米游社官方资料仅提供玩法或少量条目补充</x:v>
      </x:c>
      <x:c r="AH4" s="35" t="str">
        <x:v>仅凭图标无法区分本簇具体ID</x:v>
      </x:c>
      <x:c r="AI4" s="40" t="str">
        <x:f>IF(OR(K4&lt;&gt;L4,M4&lt;&gt;TRUE,Y4&lt;&gt;TRUE,Z4&lt;&gt;TRUE),"冲突",IF(OR(D4="？",D4="？？？"),"分类冲突待确认",IF(N4&gt;1,"图标一致；具体ID不唯一","图标/名称/来源无已发现冲突")))</x:f>
        <x:v>图标一致；具体ID不唯一</x:v>
      </x:c>
    </x:row>
    <x:row r="5" ht="38" customHeight="1">
      <x:c r="A5" s="35" t="n">
        <x:v>4</x:v>
      </x:c>
      <x:c r="B5" s="35" t="str">
        <x:v>currency_wars_equipment_004</x:v>
      </x:c>
      <x:c r="C5" s="35" t="str">
        <x:v>天地乖离开辟之星</x:v>
      </x:c>
      <x:c r="D5" s="35" t="str">
        <x:v>命运改件</x:v>
      </x:c>
      <x:c r="E5" s="35" t="str">
        <x:v>fate_component</x:v>
      </x:c>
      <x:c r="F5" s="35" t="str">
        <x:v>是</x:v>
      </x:c>
      <x:c r="G5" s="35" t="str">
        <x:v>是</x:v>
      </x:c>
      <x:c r="H5" s="35" t="str"/>
      <x:c r="I5" s="35" t="str"/>
      <x:c r="J5" s="35" t="str">
        <x:v>assets/currency_wars_equipment_icons/currency_wars_equipment_004.png</x:v>
      </x:c>
      <x:c r="K5" s="35" t="str">
        <x:v>cc6f1dc7a6bca0646026af6139c43c658e6182fbd686040f58dcd24de89d2963</x:v>
      </x:c>
      <x:c r="L5" s="35" t="str">
        <x:v>cc6f1dc7a6bca0646026af6139c43c658e6182fbd686040f58dcd24de89d2963</x:v>
      </x:c>
      <x:c r="M5" s="36" t="b">
        <x:v>1</x:v>
      </x:c>
      <x:c r="N5" s="39" t="n">
        <x:f>COUNTIF($L$2:$L$158,L5)</x:f>
        <x:v>3</x:v>
      </x:c>
      <x:c r="O5" s="39" t="str">
        <x:v>004；007；014</x:v>
      </x:c>
      <x:c r="P5" s="39" t="str">
        <x:v>天地乖离开辟之星；极•天地乖离开辟之星；诅咒•天地乖离开辟之星</x:v>
      </x:c>
      <x:c r="Q5" s="35" t="n">
        <x:v>32624</x:v>
      </x:c>
      <x:c r="R5" s="35" t="n">
        <x:v>128</x:v>
      </x:c>
      <x:c r="S5" s="35" t="n">
        <x:v>128</x:v>
      </x:c>
      <x:c r="T5" s="35" t="str">
        <x:v>https://patchwiki.biligame.com/images/sr/0/09/jl72tex7wlvns8yo9xeqj1u1qbo67zw.png</x:v>
      </x:c>
      <x:c r="U5" s="35" t="str">
        <x:v>https://wiki.biligame.com/sr/%E5%A4%A9%E5%9C%B0%E4%B9%96%E7%A6%BB%E5%BC%80%E8%BE%9F%E4%B9%8B%E6%98%9F</x:v>
      </x:c>
      <x:c r="V5" s="35" t="n">
        <x:v>99085</x:v>
      </x:c>
      <x:c r="W5" s="35" t="n">
        <x:v>200</x:v>
      </x:c>
      <x:c r="X5" s="35" t="str">
        <x:v>cc6f1dc7a6bca0646026af6139c43c658e6182fbd686040f58dcd24de89d2963</x:v>
      </x:c>
      <x:c r="Y5" s="36" t="b">
        <x:v>1</x:v>
      </x:c>
      <x:c r="Z5" s="36" t="b">
        <x:v>1</x:v>
      </x:c>
      <x:c r="AA5" s="35" t="str">
        <x:v>页面实证通过</x:v>
      </x:c>
      <x:c r="AB5" s="35" t="str">
        <x:v>天地乖离开辟之星 - 崩坏：星穹铁道WIKI_BWIKI_哔哩哔哩</x:v>
      </x:c>
      <x:c r="AC5" s="35" t="str">
        <x:v>equipment-contact-01.png</x:v>
      </x:c>
      <x:c r="AD5" s="35" t="str">
        <x:v>第1行第4列</x:v>
      </x:c>
      <x:c r="AE5" s="35" t="str">
        <x:v>逐项可见；未见空白、破损、异常裁切或相邻错位</x:v>
      </x:c>
      <x:c r="AF5" s="35" t="str">
        <x:v>同图多ID；识别时必须保留CandidateIds/Unknown，不得强收敛</x:v>
      </x:c>
      <x:c r="AG5" s="35" t="str">
        <x:v>BWIKI oldid=99085+PatchWiki；米游社官方资料仅提供玩法或少量条目补充</x:v>
      </x:c>
      <x:c r="AH5" s="35" t="str">
        <x:v>仅凭图标无法区分本簇具体ID</x:v>
      </x:c>
      <x:c r="AI5" s="40" t="str">
        <x:f>IF(OR(K5&lt;&gt;L5,M5&lt;&gt;TRUE,Y5&lt;&gt;TRUE,Z5&lt;&gt;TRUE),"冲突",IF(OR(D5="？",D5="？？？"),"分类冲突待确认",IF(N5&gt;1,"图标一致；具体ID不唯一","图标/名称/来源无已发现冲突")))</x:f>
        <x:v>图标一致；具体ID不唯一</x:v>
      </x:c>
    </x:row>
    <x:row r="6" ht="38" customHeight="1">
      <x:c r="A6" s="35" t="n">
        <x:v>5</x:v>
      </x:c>
      <x:c r="B6" s="35" t="str">
        <x:v>currency_wars_equipment_005</x:v>
      </x:c>
      <x:c r="C6" s="35" t="str">
        <x:v>宝石剑泽尔里奇</x:v>
      </x:c>
      <x:c r="D6" s="35" t="str">
        <x:v>命运改件</x:v>
      </x:c>
      <x:c r="E6" s="35" t="str">
        <x:v>fate_component</x:v>
      </x:c>
      <x:c r="F6" s="35" t="str">
        <x:v>是</x:v>
      </x:c>
      <x:c r="G6" s="35" t="str">
        <x:v>是</x:v>
      </x:c>
      <x:c r="H6" s="35" t="str"/>
      <x:c r="I6" s="35" t="str"/>
      <x:c r="J6" s="35" t="str">
        <x:v>assets/currency_wars_equipment_icons/currency_wars_equipment_005.png</x:v>
      </x:c>
      <x:c r="K6" s="35" t="str">
        <x:v>01b3a550d1ab3f78d27ba856e15c50a3c05c399f9a281ae4ad7352dced994f0f</x:v>
      </x:c>
      <x:c r="L6" s="35" t="str">
        <x:v>01b3a550d1ab3f78d27ba856e15c50a3c05c399f9a281ae4ad7352dced994f0f</x:v>
      </x:c>
      <x:c r="M6" s="36" t="b">
        <x:v>1</x:v>
      </x:c>
      <x:c r="N6" s="39" t="n">
        <x:f>COUNTIF($L$2:$L$158,L6)</x:f>
        <x:v>3</x:v>
      </x:c>
      <x:c r="O6" s="39" t="str">
        <x:v>005；008；015</x:v>
      </x:c>
      <x:c r="P6" s="39" t="str">
        <x:v>宝石剑泽尔里奇；极•宝石剑泽尔里奇；诅咒•宝石剑泽尔里奇</x:v>
      </x:c>
      <x:c r="Q6" s="35" t="n">
        <x:v>26921</x:v>
      </x:c>
      <x:c r="R6" s="35" t="n">
        <x:v>128</x:v>
      </x:c>
      <x:c r="S6" s="35" t="n">
        <x:v>128</x:v>
      </x:c>
      <x:c r="T6" s="35" t="str">
        <x:v>https://patchwiki.biligame.com/images/sr/5/5f/7vt0o74f8dyheiguftbnclyuretmfc1.png</x:v>
      </x:c>
      <x:c r="U6" s="35" t="str">
        <x:v>https://wiki.biligame.com/sr/%E5%AE%9D%E7%9F%B3%E5%89%91%E6%B3%BD%E5%B0%94%E9%87%8C%E5%A5%87</x:v>
      </x:c>
      <x:c r="V6" s="35" t="n">
        <x:v>99085</x:v>
      </x:c>
      <x:c r="W6" s="35" t="n">
        <x:v>200</x:v>
      </x:c>
      <x:c r="X6" s="35" t="str">
        <x:v>01b3a550d1ab3f78d27ba856e15c50a3c05c399f9a281ae4ad7352dced994f0f</x:v>
      </x:c>
      <x:c r="Y6" s="36" t="b">
        <x:v>1</x:v>
      </x:c>
      <x:c r="Z6" s="36" t="b">
        <x:v>1</x:v>
      </x:c>
      <x:c r="AA6" s="35" t="str">
        <x:v>HTTP 567（限流/反爬）</x:v>
      </x:c>
      <x:c r="AB6" s="35" t="str"/>
      <x:c r="AC6" s="35" t="str">
        <x:v>equipment-contact-01.png</x:v>
      </x:c>
      <x:c r="AD6" s="35" t="str">
        <x:v>第1行第5列</x:v>
      </x:c>
      <x:c r="AE6" s="35" t="str">
        <x:v>逐项可见；未见空白、破损、异常裁切或相邻错位</x:v>
      </x:c>
      <x:c r="AF6" s="35" t="str">
        <x:v>同图多ID；识别时必须保留CandidateIds/Unknown，不得强收敛</x:v>
      </x:c>
      <x:c r="AG6" s="35" t="str">
        <x:v>BWIKI oldid=99085+PatchWiki；米游社官方资料仅提供玩法或少量条目补充</x:v>
      </x:c>
      <x:c r="AH6" s="35" t="str">
        <x:v>仅凭图标无法区分本簇具体ID</x:v>
      </x:c>
      <x:c r="AI6" s="40" t="str">
        <x:f>IF(OR(K6&lt;&gt;L6,M6&lt;&gt;TRUE,Y6&lt;&gt;TRUE,Z6&lt;&gt;TRUE),"冲突",IF(OR(D6="？",D6="？？？"),"分类冲突待确认",IF(N6&gt;1,"图标一致；具体ID不唯一","图标/名称/来源无已发现冲突")))</x:f>
        <x:v>图标一致；具体ID不唯一</x:v>
      </x:c>
    </x:row>
    <x:row r="7" ht="38" customHeight="1">
      <x:c r="A7" s="35" t="n">
        <x:v>6</x:v>
      </x:c>
      <x:c r="B7" s="35" t="str">
        <x:v>currency_wars_equipment_006</x:v>
      </x:c>
      <x:c r="C7" s="35" t="str">
        <x:v>干将莫邪</x:v>
      </x:c>
      <x:c r="D7" s="35" t="str">
        <x:v>命运改件</x:v>
      </x:c>
      <x:c r="E7" s="35" t="str">
        <x:v>fate_component</x:v>
      </x:c>
      <x:c r="F7" s="35" t="str">
        <x:v>是</x:v>
      </x:c>
      <x:c r="G7" s="35" t="str">
        <x:v>是</x:v>
      </x:c>
      <x:c r="H7" s="35" t="str"/>
      <x:c r="I7" s="35" t="str"/>
      <x:c r="J7" s="35" t="str">
        <x:v>assets/currency_wars_equipment_icons/currency_wars_equipment_006.png</x:v>
      </x:c>
      <x:c r="K7" s="35" t="str">
        <x:v>8acf2cd30d8767f494c80a77d6b34df19bde721eddcbdddfcf4002161122e1ca</x:v>
      </x:c>
      <x:c r="L7" s="35" t="str">
        <x:v>8acf2cd30d8767f494c80a77d6b34df19bde721eddcbdddfcf4002161122e1ca</x:v>
      </x:c>
      <x:c r="M7" s="36" t="b">
        <x:v>1</x:v>
      </x:c>
      <x:c r="N7" s="39" t="n">
        <x:f>COUNTIF($L$2:$L$158,L7)</x:f>
        <x:v>3</x:v>
      </x:c>
      <x:c r="O7" s="39" t="str">
        <x:v>006；009；016</x:v>
      </x:c>
      <x:c r="P7" s="39" t="str">
        <x:v>干将莫邪；极•干将莫邪；诅咒•干将莫邪</x:v>
      </x:c>
      <x:c r="Q7" s="35" t="n">
        <x:v>31431</x:v>
      </x:c>
      <x:c r="R7" s="35" t="n">
        <x:v>128</x:v>
      </x:c>
      <x:c r="S7" s="35" t="n">
        <x:v>128</x:v>
      </x:c>
      <x:c r="T7" s="35" t="str">
        <x:v>https://patchwiki.biligame.com/images/sr/6/6a/ggxm1iskstxe4qlaxb4g2mk6q9v8r1g.png</x:v>
      </x:c>
      <x:c r="U7" s="35" t="str">
        <x:v>https://wiki.biligame.com/sr/%E5%B9%B2%E5%B0%86%E8%8E%AB%E9%82%AA</x:v>
      </x:c>
      <x:c r="V7" s="35" t="n">
        <x:v>99085</x:v>
      </x:c>
      <x:c r="W7" s="35" t="n">
        <x:v>200</x:v>
      </x:c>
      <x:c r="X7" s="35" t="str">
        <x:v>8acf2cd30d8767f494c80a77d6b34df19bde721eddcbdddfcf4002161122e1ca</x:v>
      </x:c>
      <x:c r="Y7" s="36" t="b">
        <x:v>1</x:v>
      </x:c>
      <x:c r="Z7" s="36" t="b">
        <x:v>1</x:v>
      </x:c>
      <x:c r="AA7" s="35" t="str">
        <x:v>HTTP 567（限流/反爬）</x:v>
      </x:c>
      <x:c r="AB7" s="35" t="str"/>
      <x:c r="AC7" s="35" t="str">
        <x:v>equipment-contact-01.png</x:v>
      </x:c>
      <x:c r="AD7" s="35" t="str">
        <x:v>第2行第1列</x:v>
      </x:c>
      <x:c r="AE7" s="35" t="str">
        <x:v>逐项可见；未见空白、破损、异常裁切或相邻错位</x:v>
      </x:c>
      <x:c r="AF7" s="35" t="str">
        <x:v>同图多ID；识别时必须保留CandidateIds/Unknown，不得强收敛</x:v>
      </x:c>
      <x:c r="AG7" s="35" t="str">
        <x:v>BWIKI oldid=99085+PatchWiki；米游社官方资料仅提供玩法或少量条目补充</x:v>
      </x:c>
      <x:c r="AH7" s="35" t="str">
        <x:v>仅凭图标无法区分本簇具体ID</x:v>
      </x:c>
      <x:c r="AI7" s="40" t="str">
        <x:f>IF(OR(K7&lt;&gt;L7,M7&lt;&gt;TRUE,Y7&lt;&gt;TRUE,Z7&lt;&gt;TRUE),"冲突",IF(OR(D7="？",D7="？？？"),"分类冲突待确认",IF(N7&gt;1,"图标一致；具体ID不唯一","图标/名称/来源无已发现冲突")))</x:f>
        <x:v>图标一致；具体ID不唯一</x:v>
      </x:c>
    </x:row>
    <x:row r="8" ht="38" customHeight="1">
      <x:c r="A8" s="35" t="n">
        <x:v>7</x:v>
      </x:c>
      <x:c r="B8" s="35" t="str">
        <x:v>currency_wars_equipment_007</x:v>
      </x:c>
      <x:c r="C8" s="35" t="str">
        <x:v>极•天地乖离开辟之星</x:v>
      </x:c>
      <x:c r="D8" s="35" t="str">
        <x:v>命运改件</x:v>
      </x:c>
      <x:c r="E8" s="35" t="str">
        <x:v>fate_component</x:v>
      </x:c>
      <x:c r="F8" s="35" t="str">
        <x:v>是</x:v>
      </x:c>
      <x:c r="G8" s="35" t="str">
        <x:v>是</x:v>
      </x:c>
      <x:c r="H8" s="35" t="str"/>
      <x:c r="I8" s="35" t="str"/>
      <x:c r="J8" s="35" t="str">
        <x:v>assets/currency_wars_equipment_icons/currency_wars_equipment_007.png</x:v>
      </x:c>
      <x:c r="K8" s="35" t="str">
        <x:v>cc6f1dc7a6bca0646026af6139c43c658e6182fbd686040f58dcd24de89d2963</x:v>
      </x:c>
      <x:c r="L8" s="35" t="str">
        <x:v>cc6f1dc7a6bca0646026af6139c43c658e6182fbd686040f58dcd24de89d2963</x:v>
      </x:c>
      <x:c r="M8" s="36" t="b">
        <x:v>1</x:v>
      </x:c>
      <x:c r="N8" s="39" t="n">
        <x:f>COUNTIF($L$2:$L$158,L8)</x:f>
        <x:v>3</x:v>
      </x:c>
      <x:c r="O8" s="39" t="str">
        <x:v>004；007；014</x:v>
      </x:c>
      <x:c r="P8" s="39" t="str">
        <x:v>天地乖离开辟之星；极•天地乖离开辟之星；诅咒•天地乖离开辟之星</x:v>
      </x:c>
      <x:c r="Q8" s="35" t="n">
        <x:v>32624</x:v>
      </x:c>
      <x:c r="R8" s="35" t="n">
        <x:v>128</x:v>
      </x:c>
      <x:c r="S8" s="35" t="n">
        <x:v>128</x:v>
      </x:c>
      <x:c r="T8" s="35" t="str">
        <x:v>https://patchwiki.biligame.com/images/sr/3/35/jl72tex7wlvns8yo9xeqj1u1qbo67zw.png</x:v>
      </x:c>
      <x:c r="U8" s="35" t="str">
        <x:v>https://wiki.biligame.com/sr/%E6%9E%81%E2%80%A2%E5%A4%A9%E5%9C%B0%E4%B9%96%E7%A6%BB%E5%BC%80%E8%BE%9F%E4%B9%8B%E6%98%9F</x:v>
      </x:c>
      <x:c r="V8" s="35" t="n">
        <x:v>99085</x:v>
      </x:c>
      <x:c r="W8" s="35" t="n">
        <x:v>200</x:v>
      </x:c>
      <x:c r="X8" s="35" t="str">
        <x:v>cc6f1dc7a6bca0646026af6139c43c658e6182fbd686040f58dcd24de89d2963</x:v>
      </x:c>
      <x:c r="Y8" s="36" t="b">
        <x:v>1</x:v>
      </x:c>
      <x:c r="Z8" s="36" t="b">
        <x:v>1</x:v>
      </x:c>
      <x:c r="AA8" s="35" t="str">
        <x:v>页面实证通过</x:v>
      </x:c>
      <x:c r="AB8" s="35" t="str">
        <x:v>极•天地乖离开辟之星 - 崩坏：星穹铁道WIKI_BWIKI_哔哩哔哩</x:v>
      </x:c>
      <x:c r="AC8" s="35" t="str">
        <x:v>equipment-contact-01.png</x:v>
      </x:c>
      <x:c r="AD8" s="35" t="str">
        <x:v>第2行第2列</x:v>
      </x:c>
      <x:c r="AE8" s="35" t="str">
        <x:v>逐项可见；未见空白、破损、异常裁切或相邻错位</x:v>
      </x:c>
      <x:c r="AF8" s="35" t="str">
        <x:v>同图多ID；识别时必须保留CandidateIds/Unknown，不得强收敛</x:v>
      </x:c>
      <x:c r="AG8" s="35" t="str">
        <x:v>BWIKI oldid=99085+PatchWiki；米游社官方资料仅提供玩法或少量条目补充</x:v>
      </x:c>
      <x:c r="AH8" s="35" t="str">
        <x:v>仅凭图标无法区分本簇具体ID</x:v>
      </x:c>
      <x:c r="AI8" s="40" t="str">
        <x:f>IF(OR(K8&lt;&gt;L8,M8&lt;&gt;TRUE,Y8&lt;&gt;TRUE,Z8&lt;&gt;TRUE),"冲突",IF(OR(D8="？",D8="？？？"),"分类冲突待确认",IF(N8&gt;1,"图标一致；具体ID不唯一","图标/名称/来源无已发现冲突")))</x:f>
        <x:v>图标一致；具体ID不唯一</x:v>
      </x:c>
    </x:row>
    <x:row r="9" ht="38" customHeight="1">
      <x:c r="A9" s="35" t="n">
        <x:v>8</x:v>
      </x:c>
      <x:c r="B9" s="35" t="str">
        <x:v>currency_wars_equipment_008</x:v>
      </x:c>
      <x:c r="C9" s="35" t="str">
        <x:v>极•宝石剑泽尔里奇</x:v>
      </x:c>
      <x:c r="D9" s="35" t="str">
        <x:v>命运改件</x:v>
      </x:c>
      <x:c r="E9" s="35" t="str">
        <x:v>fate_component</x:v>
      </x:c>
      <x:c r="F9" s="35" t="str">
        <x:v>是</x:v>
      </x:c>
      <x:c r="G9" s="35" t="str">
        <x:v>是</x:v>
      </x:c>
      <x:c r="H9" s="35" t="str"/>
      <x:c r="I9" s="35" t="str"/>
      <x:c r="J9" s="35" t="str">
        <x:v>assets/currency_wars_equipment_icons/currency_wars_equipment_008.png</x:v>
      </x:c>
      <x:c r="K9" s="35" t="str">
        <x:v>01b3a550d1ab3f78d27ba856e15c50a3c05c399f9a281ae4ad7352dced994f0f</x:v>
      </x:c>
      <x:c r="L9" s="35" t="str">
        <x:v>01b3a550d1ab3f78d27ba856e15c50a3c05c399f9a281ae4ad7352dced994f0f</x:v>
      </x:c>
      <x:c r="M9" s="36" t="b">
        <x:v>1</x:v>
      </x:c>
      <x:c r="N9" s="39" t="n">
        <x:f>COUNTIF($L$2:$L$158,L9)</x:f>
        <x:v>3</x:v>
      </x:c>
      <x:c r="O9" s="39" t="str">
        <x:v>005；008；015</x:v>
      </x:c>
      <x:c r="P9" s="39" t="str">
        <x:v>宝石剑泽尔里奇；极•宝石剑泽尔里奇；诅咒•宝石剑泽尔里奇</x:v>
      </x:c>
      <x:c r="Q9" s="35" t="n">
        <x:v>26921</x:v>
      </x:c>
      <x:c r="R9" s="35" t="n">
        <x:v>128</x:v>
      </x:c>
      <x:c r="S9" s="35" t="n">
        <x:v>128</x:v>
      </x:c>
      <x:c r="T9" s="35" t="str">
        <x:v>https://patchwiki.biligame.com/images/sr/6/61/7vt0o74f8dyheiguftbnclyuretmfc1.png</x:v>
      </x:c>
      <x:c r="U9" s="35" t="str">
        <x:v>https://wiki.biligame.com/sr/%E6%9E%81%E2%80%A2%E5%AE%9D%E7%9F%B3%E5%89%91%E6%B3%BD%E5%B0%94%E9%87%8C%E5%A5%87</x:v>
      </x:c>
      <x:c r="V9" s="35" t="n">
        <x:v>99085</x:v>
      </x:c>
      <x:c r="W9" s="35" t="n">
        <x:v>200</x:v>
      </x:c>
      <x:c r="X9" s="35" t="str">
        <x:v>01b3a550d1ab3f78d27ba856e15c50a3c05c399f9a281ae4ad7352dced994f0f</x:v>
      </x:c>
      <x:c r="Y9" s="36" t="b">
        <x:v>1</x:v>
      </x:c>
      <x:c r="Z9" s="36" t="b">
        <x:v>1</x:v>
      </x:c>
      <x:c r="AA9" s="35" t="str">
        <x:v>页面实证通过</x:v>
      </x:c>
      <x:c r="AB9" s="35" t="str">
        <x:v>极•宝石剑泽尔里奇 - 崩坏：星穹铁道WIKI_BWIKI_哔哩哔哩</x:v>
      </x:c>
      <x:c r="AC9" s="35" t="str">
        <x:v>equipment-contact-01.png</x:v>
      </x:c>
      <x:c r="AD9" s="35" t="str">
        <x:v>第2行第3列</x:v>
      </x:c>
      <x:c r="AE9" s="35" t="str">
        <x:v>逐项可见；未见空白、破损、异常裁切或相邻错位</x:v>
      </x:c>
      <x:c r="AF9" s="35" t="str">
        <x:v>同图多ID；识别时必须保留CandidateIds/Unknown，不得强收敛</x:v>
      </x:c>
      <x:c r="AG9" s="35" t="str">
        <x:v>BWIKI oldid=99085+PatchWiki；米游社官方资料仅提供玩法或少量条目补充</x:v>
      </x:c>
      <x:c r="AH9" s="35" t="str">
        <x:v>仅凭图标无法区分本簇具体ID</x:v>
      </x:c>
      <x:c r="AI9" s="40" t="str">
        <x:f>IF(OR(K9&lt;&gt;L9,M9&lt;&gt;TRUE,Y9&lt;&gt;TRUE,Z9&lt;&gt;TRUE),"冲突",IF(OR(D9="？",D9="？？？"),"分类冲突待确认",IF(N9&gt;1,"图标一致；具体ID不唯一","图标/名称/来源无已发现冲突")))</x:f>
        <x:v>图标一致；具体ID不唯一</x:v>
      </x:c>
    </x:row>
    <x:row r="10" ht="38" customHeight="1">
      <x:c r="A10" s="35" t="n">
        <x:v>9</x:v>
      </x:c>
      <x:c r="B10" s="35" t="str">
        <x:v>currency_wars_equipment_009</x:v>
      </x:c>
      <x:c r="C10" s="35" t="str">
        <x:v>极•干将莫邪</x:v>
      </x:c>
      <x:c r="D10" s="35" t="str">
        <x:v>命运改件</x:v>
      </x:c>
      <x:c r="E10" s="35" t="str">
        <x:v>fate_component</x:v>
      </x:c>
      <x:c r="F10" s="35" t="str">
        <x:v>是</x:v>
      </x:c>
      <x:c r="G10" s="35" t="str">
        <x:v>是</x:v>
      </x:c>
      <x:c r="H10" s="35" t="str"/>
      <x:c r="I10" s="35" t="str"/>
      <x:c r="J10" s="35" t="str">
        <x:v>assets/currency_wars_equipment_icons/currency_wars_equipment_009.png</x:v>
      </x:c>
      <x:c r="K10" s="35" t="str">
        <x:v>8acf2cd30d8767f494c80a77d6b34df19bde721eddcbdddfcf4002161122e1ca</x:v>
      </x:c>
      <x:c r="L10" s="35" t="str">
        <x:v>8acf2cd30d8767f494c80a77d6b34df19bde721eddcbdddfcf4002161122e1ca</x:v>
      </x:c>
      <x:c r="M10" s="36" t="b">
        <x:v>1</x:v>
      </x:c>
      <x:c r="N10" s="39" t="n">
        <x:f>COUNTIF($L$2:$L$158,L10)</x:f>
        <x:v>3</x:v>
      </x:c>
      <x:c r="O10" s="39" t="str">
        <x:v>006；009；016</x:v>
      </x:c>
      <x:c r="P10" s="39" t="str">
        <x:v>干将莫邪；极•干将莫邪；诅咒•干将莫邪</x:v>
      </x:c>
      <x:c r="Q10" s="35" t="n">
        <x:v>31431</x:v>
      </x:c>
      <x:c r="R10" s="35" t="n">
        <x:v>128</x:v>
      </x:c>
      <x:c r="S10" s="35" t="n">
        <x:v>128</x:v>
      </x:c>
      <x:c r="T10" s="35" t="str">
        <x:v>https://patchwiki.biligame.com/images/sr/3/38/ggxm1iskstxe4qlaxb4g2mk6q9v8r1g.png</x:v>
      </x:c>
      <x:c r="U10" s="35" t="str">
        <x:v>https://wiki.biligame.com/sr/%E6%9E%81%E2%80%A2%E5%B9%B2%E5%B0%86%E8%8E%AB%E9%82%AA</x:v>
      </x:c>
      <x:c r="V10" s="35" t="n">
        <x:v>99085</x:v>
      </x:c>
      <x:c r="W10" s="35" t="n">
        <x:v>200</x:v>
      </x:c>
      <x:c r="X10" s="35" t="str">
        <x:v>8acf2cd30d8767f494c80a77d6b34df19bde721eddcbdddfcf4002161122e1ca</x:v>
      </x:c>
      <x:c r="Y10" s="36" t="b">
        <x:v>1</x:v>
      </x:c>
      <x:c r="Z10" s="36" t="b">
        <x:v>1</x:v>
      </x:c>
      <x:c r="AA10" s="35" t="str">
        <x:v>HTTP 567（限流/反爬）</x:v>
      </x:c>
      <x:c r="AB10" s="35" t="str"/>
      <x:c r="AC10" s="35" t="str">
        <x:v>equipment-contact-01.png</x:v>
      </x:c>
      <x:c r="AD10" s="35" t="str">
        <x:v>第2行第4列</x:v>
      </x:c>
      <x:c r="AE10" s="35" t="str">
        <x:v>逐项可见；未见空白、破损、异常裁切或相邻错位</x:v>
      </x:c>
      <x:c r="AF10" s="35" t="str">
        <x:v>同图多ID；识别时必须保留CandidateIds/Unknown，不得强收敛</x:v>
      </x:c>
      <x:c r="AG10" s="35" t="str">
        <x:v>BWIKI oldid=99085+PatchWiki；米游社官方资料仅提供玩法或少量条目补充</x:v>
      </x:c>
      <x:c r="AH10" s="35" t="str">
        <x:v>仅凭图标无法区分本簇具体ID</x:v>
      </x:c>
      <x:c r="AI10" s="40" t="str">
        <x:f>IF(OR(K10&lt;&gt;L10,M10&lt;&gt;TRUE,Y10&lt;&gt;TRUE,Z10&lt;&gt;TRUE),"冲突",IF(OR(D10="？",D10="？？？"),"分类冲突待确认",IF(N10&gt;1,"图标一致；具体ID不唯一","图标/名称/来源无已发现冲突")))</x:f>
        <x:v>图标一致；具体ID不唯一</x:v>
      </x:c>
    </x:row>
    <x:row r="11" ht="38" customHeight="1">
      <x:c r="A11" s="35" t="n">
        <x:v>10</x:v>
      </x:c>
      <x:c r="B11" s="35" t="str">
        <x:v>currency_wars_equipment_010</x:v>
      </x:c>
      <x:c r="C11" s="35" t="str">
        <x:v>极•阿瓦隆</x:v>
      </x:c>
      <x:c r="D11" s="35" t="str">
        <x:v>命运改件</x:v>
      </x:c>
      <x:c r="E11" s="35" t="str">
        <x:v>fate_component</x:v>
      </x:c>
      <x:c r="F11" s="35" t="str">
        <x:v>是</x:v>
      </x:c>
      <x:c r="G11" s="35" t="str">
        <x:v>是</x:v>
      </x:c>
      <x:c r="H11" s="35" t="str"/>
      <x:c r="I11" s="35" t="str"/>
      <x:c r="J11" s="35" t="str">
        <x:v>assets/currency_wars_equipment_icons/currency_wars_equipment_010.png</x:v>
      </x:c>
      <x:c r="K11" s="35" t="str">
        <x:v>f3bed270b62a20ee5b4fd20767f8490872a12d701bdbd3f86783fbdf0128fb20</x:v>
      </x:c>
      <x:c r="L11" s="35" t="str">
        <x:v>f3bed270b62a20ee5b4fd20767f8490872a12d701bdbd3f86783fbdf0128fb20</x:v>
      </x:c>
      <x:c r="M11" s="36" t="b">
        <x:v>1</x:v>
      </x:c>
      <x:c r="N11" s="39" t="n">
        <x:f>COUNTIF($L$2:$L$158,L11)</x:f>
        <x:v>3</x:v>
      </x:c>
      <x:c r="O11" s="39" t="str">
        <x:v>010；017；020</x:v>
      </x:c>
      <x:c r="P11" s="39" t="str">
        <x:v>极•阿瓦隆；诅咒•阿瓦隆；阿瓦隆</x:v>
      </x:c>
      <x:c r="Q11" s="35" t="n">
        <x:v>30646</x:v>
      </x:c>
      <x:c r="R11" s="35" t="n">
        <x:v>128</x:v>
      </x:c>
      <x:c r="S11" s="35" t="n">
        <x:v>128</x:v>
      </x:c>
      <x:c r="T11" s="35" t="str">
        <x:v>https://patchwiki.biligame.com/images/sr/1/18/iht3g55xaq1r666csbnjpbfc7onrud7.png</x:v>
      </x:c>
      <x:c r="U11" s="35" t="str">
        <x:v>https://wiki.biligame.com/sr/%E6%9E%81%E2%80%A2%E9%98%BF%E7%93%A6%E9%9A%86</x:v>
      </x:c>
      <x:c r="V11" s="35" t="n">
        <x:v>99085</x:v>
      </x:c>
      <x:c r="W11" s="35" t="n">
        <x:v>200</x:v>
      </x:c>
      <x:c r="X11" s="35" t="str">
        <x:v>f3bed270b62a20ee5b4fd20767f8490872a12d701bdbd3f86783fbdf0128fb20</x:v>
      </x:c>
      <x:c r="Y11" s="36" t="b">
        <x:v>1</x:v>
      </x:c>
      <x:c r="Z11" s="36" t="b">
        <x:v>1</x:v>
      </x:c>
      <x:c r="AA11" s="35" t="str">
        <x:v>HTTP 567（限流/反爬）</x:v>
      </x:c>
      <x:c r="AB11" s="35" t="str"/>
      <x:c r="AC11" s="35" t="str">
        <x:v>equipment-contact-01.png</x:v>
      </x:c>
      <x:c r="AD11" s="35" t="str">
        <x:v>第2行第5列</x:v>
      </x:c>
      <x:c r="AE11" s="35" t="str">
        <x:v>逐项可见；未见空白、破损、异常裁切或相邻错位</x:v>
      </x:c>
      <x:c r="AF11" s="35" t="str">
        <x:v>同图多ID；识别时必须保留CandidateIds/Unknown，不得强收敛</x:v>
      </x:c>
      <x:c r="AG11" s="35" t="str">
        <x:v>BWIKI oldid=99085+PatchWiki；米游社官方资料仅提供玩法或少量条目补充</x:v>
      </x:c>
      <x:c r="AH11" s="35" t="str">
        <x:v>仅凭图标无法区分本簇具体ID</x:v>
      </x:c>
      <x:c r="AI11" s="40" t="str">
        <x:f>IF(OR(K11&lt;&gt;L11,M11&lt;&gt;TRUE,Y11&lt;&gt;TRUE,Z11&lt;&gt;TRUE),"冲突",IF(OR(D11="？",D11="？？？"),"分类冲突待确认",IF(N11&gt;1,"图标一致；具体ID不唯一","图标/名称/来源无已发现冲突")))</x:f>
        <x:v>图标一致；具体ID不唯一</x:v>
      </x:c>
    </x:row>
    <x:row r="12" ht="38" customHeight="1">
      <x:c r="A12" s="35" t="n">
        <x:v>11</x:v>
      </x:c>
      <x:c r="B12" s="35" t="str">
        <x:v>currency_wars_equipment_011</x:v>
      </x:c>
      <x:c r="C12" s="35" t="str">
        <x:v>穿刺死棘之枪</x:v>
      </x:c>
      <x:c r="D12" s="35" t="str">
        <x:v>命运改件</x:v>
      </x:c>
      <x:c r="E12" s="35" t="str">
        <x:v>fate_component</x:v>
      </x:c>
      <x:c r="F12" s="35" t="str">
        <x:v>是</x:v>
      </x:c>
      <x:c r="G12" s="35" t="str">
        <x:v>是</x:v>
      </x:c>
      <x:c r="H12" s="35" t="str"/>
      <x:c r="I12" s="35" t="str"/>
      <x:c r="J12" s="35" t="str">
        <x:v>assets/currency_wars_equipment_icons/currency_wars_equipment_011.png</x:v>
      </x:c>
      <x:c r="K12" s="35" t="str">
        <x:v>b76cf23e2e2a70f706b61150374fec2a60f2282f18256467d1d8d90591b0a531</x:v>
      </x:c>
      <x:c r="L12" s="35" t="str">
        <x:v>b76cf23e2e2a70f706b61150374fec2a60f2282f18256467d1d8d90591b0a531</x:v>
      </x:c>
      <x:c r="M12" s="36" t="b">
        <x:v>1</x:v>
      </x:c>
      <x:c r="N12" s="35" t="n">
        <x:f>COUNTIF($L$2:$L$158,L12)</x:f>
        <x:v>1</x:v>
      </x:c>
      <x:c r="O12" s="35" t="str">
        <x:v>011</x:v>
      </x:c>
      <x:c r="P12" s="35" t="str">
        <x:v>穿刺死棘之枪</x:v>
      </x:c>
      <x:c r="Q12" s="35" t="n">
        <x:v>29153</x:v>
      </x:c>
      <x:c r="R12" s="35" t="n">
        <x:v>128</x:v>
      </x:c>
      <x:c r="S12" s="35" t="n">
        <x:v>128</x:v>
      </x:c>
      <x:c r="T12" s="35" t="str">
        <x:v>https://patchwiki.biligame.com/images/sr/7/7b/rh56dh7ooqd569qbd3ouybjic8b0dlw.png</x:v>
      </x:c>
      <x:c r="U12" s="35" t="str">
        <x:v>https://wiki.biligame.com/sr/%E7%A9%BF%E5%88%BA%E6%AD%BB%E6%A3%98%E4%B9%8B%E6%9E%AA</x:v>
      </x:c>
      <x:c r="V12" s="35" t="n">
        <x:v>99085</x:v>
      </x:c>
      <x:c r="W12" s="35" t="n">
        <x:v>200</x:v>
      </x:c>
      <x:c r="X12" s="35" t="str">
        <x:v>b76cf23e2e2a70f706b61150374fec2a60f2282f18256467d1d8d90591b0a531</x:v>
      </x:c>
      <x:c r="Y12" s="36" t="b">
        <x:v>1</x:v>
      </x:c>
      <x:c r="Z12" s="36" t="b">
        <x:v>1</x:v>
      </x:c>
      <x:c r="AA12" s="35" t="str">
        <x:v>HTTP 567（限流/反爬）</x:v>
      </x:c>
      <x:c r="AB12" s="35" t="str"/>
      <x:c r="AC12" s="35" t="str">
        <x:v>equipment-contact-01.png</x:v>
      </x:c>
      <x:c r="AD12" s="35" t="str">
        <x:v>第3行第1列</x:v>
      </x:c>
      <x:c r="AE12" s="35" t="str">
        <x:v>逐项可见；未见空白、破损、异常裁切或相邻错位</x:v>
      </x:c>
      <x:c r="AF12" s="35" t="str">
        <x:v>本地哈希唯一；未发现图标与名称错位</x:v>
      </x:c>
      <x:c r="AG12" s="35" t="str">
        <x:v>BWIKI oldid=99085+PatchWiki；米游社官方资料仅提供玩法或少量条目补充</x:v>
      </x:c>
      <x:c r="AH12" s="35" t="str">
        <x:v>单条详情页本轮受限流/反爬影响，未获得独立页面实证</x:v>
      </x:c>
      <x:c r="AI12" s="38" t="str">
        <x:f>IF(OR(K12&lt;&gt;L12,M12&lt;&gt;TRUE,Y12&lt;&gt;TRUE,Z12&lt;&gt;TRUE),"冲突",IF(OR(D12="？",D12="？？？"),"分类冲突待确认",IF(N12&gt;1,"图标一致；具体ID不唯一","图标/名称/来源无已发现冲突")))</x:f>
        <x:v>图标/名称/来源无已发现冲突</x:v>
      </x:c>
    </x:row>
    <x:row r="13" ht="38" customHeight="1">
      <x:c r="A13" s="35" t="n">
        <x:v>12</x:v>
      </x:c>
      <x:c r="B13" s="35" t="str">
        <x:v>currency_wars_equipment_012</x:v>
      </x:c>
      <x:c r="C13" s="35" t="str">
        <x:v>罪孽王冠</x:v>
      </x:c>
      <x:c r="D13" s="35" t="str">
        <x:v>命运改件</x:v>
      </x:c>
      <x:c r="E13" s="35" t="str">
        <x:v>fate_component</x:v>
      </x:c>
      <x:c r="F13" s="35" t="str">
        <x:v>是</x:v>
      </x:c>
      <x:c r="G13" s="35" t="str">
        <x:v>是</x:v>
      </x:c>
      <x:c r="H13" s="35" t="str"/>
      <x:c r="I13" s="35" t="str"/>
      <x:c r="J13" s="35" t="str">
        <x:v>assets/currency_wars_equipment_icons/currency_wars_equipment_012.png</x:v>
      </x:c>
      <x:c r="K13" s="35" t="str">
        <x:v>492d69c4b540dc8354045387b84d3a94ff655c20f3acd373be398708bd4d85d9</x:v>
      </x:c>
      <x:c r="L13" s="35" t="str">
        <x:v>492d69c4b540dc8354045387b84d3a94ff655c20f3acd373be398708bd4d85d9</x:v>
      </x:c>
      <x:c r="M13" s="36" t="b">
        <x:v>1</x:v>
      </x:c>
      <x:c r="N13" s="35" t="n">
        <x:f>COUNTIF($L$2:$L$158,L13)</x:f>
        <x:v>1</x:v>
      </x:c>
      <x:c r="O13" s="35" t="str">
        <x:v>012</x:v>
      </x:c>
      <x:c r="P13" s="35" t="str">
        <x:v>罪孽王冠</x:v>
      </x:c>
      <x:c r="Q13" s="35" t="n">
        <x:v>32913</x:v>
      </x:c>
      <x:c r="R13" s="35" t="n">
        <x:v>128</x:v>
      </x:c>
      <x:c r="S13" s="35" t="n">
        <x:v>128</x:v>
      </x:c>
      <x:c r="T13" s="35" t="str">
        <x:v>https://patchwiki.biligame.com/images/sr/9/9c/iuehtsznpoffsv35v33zm8ylit3wic6.png</x:v>
      </x:c>
      <x:c r="U13" s="35" t="str">
        <x:v>https://wiki.biligame.com/sr/%E7%BD%AA%E5%AD%BD%E7%8E%8B%E5%86%A0</x:v>
      </x:c>
      <x:c r="V13" s="35" t="n">
        <x:v>99085</x:v>
      </x:c>
      <x:c r="W13" s="35" t="n">
        <x:v>200</x:v>
      </x:c>
      <x:c r="X13" s="35" t="str">
        <x:v>492d69c4b540dc8354045387b84d3a94ff655c20f3acd373be398708bd4d85d9</x:v>
      </x:c>
      <x:c r="Y13" s="36" t="b">
        <x:v>1</x:v>
      </x:c>
      <x:c r="Z13" s="36" t="b">
        <x:v>1</x:v>
      </x:c>
      <x:c r="AA13" s="35" t="str">
        <x:v>HTTP 567（限流/反爬）</x:v>
      </x:c>
      <x:c r="AB13" s="35" t="str"/>
      <x:c r="AC13" s="35" t="str">
        <x:v>equipment-contact-01.png</x:v>
      </x:c>
      <x:c r="AD13" s="35" t="str">
        <x:v>第3行第2列</x:v>
      </x:c>
      <x:c r="AE13" s="35" t="str">
        <x:v>逐项可见；未见空白、破损、异常裁切或相邻错位</x:v>
      </x:c>
      <x:c r="AF13" s="35" t="str">
        <x:v>本地哈希唯一；未发现图标与名称错位</x:v>
      </x:c>
      <x:c r="AG13" s="35" t="str">
        <x:v>BWIKI oldid=99085+PatchWiki；米游社官方资料仅提供玩法或少量条目补充</x:v>
      </x:c>
      <x:c r="AH13" s="35" t="str">
        <x:v>单条详情页本轮受限流/反爬影响，未获得独立页面实证</x:v>
      </x:c>
      <x:c r="AI13" s="38" t="str">
        <x:f>IF(OR(K13&lt;&gt;L13,M13&lt;&gt;TRUE,Y13&lt;&gt;TRUE,Z13&lt;&gt;TRUE),"冲突",IF(OR(D13="？",D13="？？？"),"分类冲突待确认",IF(N13&gt;1,"图标一致；具体ID不唯一","图标/名称/来源无已发现冲突")))</x:f>
        <x:v>图标/名称/来源无已发现冲突</x:v>
      </x:c>
    </x:row>
    <x:row r="14" ht="38" customHeight="1">
      <x:c r="A14" s="35" t="n">
        <x:v>13</x:v>
      </x:c>
      <x:c r="B14" s="35" t="str">
        <x:v>currency_wars_equipment_013</x:v>
      </x:c>
      <x:c r="C14" s="35" t="str">
        <x:v>诅咒•圣杯</x:v>
      </x:c>
      <x:c r="D14" s="35" t="str">
        <x:v>命运改件</x:v>
      </x:c>
      <x:c r="E14" s="35" t="str">
        <x:v>fate_component</x:v>
      </x:c>
      <x:c r="F14" s="35" t="str">
        <x:v>是</x:v>
      </x:c>
      <x:c r="G14" s="35" t="str">
        <x:v>是</x:v>
      </x:c>
      <x:c r="H14" s="35" t="str"/>
      <x:c r="I14" s="35" t="str"/>
      <x:c r="J14" s="35" t="str">
        <x:v>assets/currency_wars_equipment_icons/currency_wars_equipment_013.png</x:v>
      </x:c>
      <x:c r="K14" s="35" t="str">
        <x:v>9c8bafb41cc081b61811196ad180dce749b04c54725fde5d09a3ab0766741780</x:v>
      </x:c>
      <x:c r="L14" s="35" t="str">
        <x:v>9c8bafb41cc081b61811196ad180dce749b04c54725fde5d09a3ab0766741780</x:v>
      </x:c>
      <x:c r="M14" s="36" t="b">
        <x:v>1</x:v>
      </x:c>
      <x:c r="N14" s="39" t="n">
        <x:f>COUNTIF($L$2:$L$158,L14)</x:f>
        <x:v>3</x:v>
      </x:c>
      <x:c r="O14" s="39" t="str">
        <x:v>002；003；013</x:v>
      </x:c>
      <x:c r="P14" s="39" t="str">
        <x:v>分裂•圣杯；圣杯；诅咒•圣杯</x:v>
      </x:c>
      <x:c r="Q14" s="35" t="n">
        <x:v>33508</x:v>
      </x:c>
      <x:c r="R14" s="35" t="n">
        <x:v>128</x:v>
      </x:c>
      <x:c r="S14" s="35" t="n">
        <x:v>128</x:v>
      </x:c>
      <x:c r="T14" s="35" t="str">
        <x:v>https://patchwiki.biligame.com/images/sr/b/b7/a898nbnuv6ywty7ktmu4wepm8nkdqep.png</x:v>
      </x:c>
      <x:c r="U14" s="35" t="str">
        <x:v>https://wiki.biligame.com/sr/%E8%AF%85%E5%92%92%E2%80%A2%E5%9C%A3%E6%9D%AF</x:v>
      </x:c>
      <x:c r="V14" s="35" t="n">
        <x:v>99085</x:v>
      </x:c>
      <x:c r="W14" s="35" t="n">
        <x:v>200</x:v>
      </x:c>
      <x:c r="X14" s="35" t="str">
        <x:v>9c8bafb41cc081b61811196ad180dce749b04c54725fde5d09a3ab0766741780</x:v>
      </x:c>
      <x:c r="Y14" s="36" t="b">
        <x:v>1</x:v>
      </x:c>
      <x:c r="Z14" s="36" t="b">
        <x:v>1</x:v>
      </x:c>
      <x:c r="AA14" s="35" t="str">
        <x:v>页面实证通过</x:v>
      </x:c>
      <x:c r="AB14" s="35" t="str">
        <x:v>诅咒•圣杯 - 崩坏：星穹铁道WIKI_BWIKI_哔哩哔哩</x:v>
      </x:c>
      <x:c r="AC14" s="35" t="str">
        <x:v>equipment-contact-01.png</x:v>
      </x:c>
      <x:c r="AD14" s="35" t="str">
        <x:v>第3行第3列</x:v>
      </x:c>
      <x:c r="AE14" s="35" t="str">
        <x:v>逐项可见；未见空白、破损、异常裁切或相邻错位</x:v>
      </x:c>
      <x:c r="AF14" s="35" t="str">
        <x:v>同图多ID；识别时必须保留CandidateIds/Unknown，不得强收敛</x:v>
      </x:c>
      <x:c r="AG14" s="35" t="str">
        <x:v>BWIKI oldid=99085+PatchWiki；米游社官方资料仅提供玩法或少量条目补充</x:v>
      </x:c>
      <x:c r="AH14" s="35" t="str">
        <x:v>仅凭图标无法区分本簇具体ID</x:v>
      </x:c>
      <x:c r="AI14" s="40" t="str">
        <x:f>IF(OR(K14&lt;&gt;L14,M14&lt;&gt;TRUE,Y14&lt;&gt;TRUE,Z14&lt;&gt;TRUE),"冲突",IF(OR(D14="？",D14="？？？"),"分类冲突待确认",IF(N14&gt;1,"图标一致；具体ID不唯一","图标/名称/来源无已发现冲突")))</x:f>
        <x:v>图标一致；具体ID不唯一</x:v>
      </x:c>
    </x:row>
    <x:row r="15" ht="38" customHeight="1">
      <x:c r="A15" s="35" t="n">
        <x:v>14</x:v>
      </x:c>
      <x:c r="B15" s="35" t="str">
        <x:v>currency_wars_equipment_014</x:v>
      </x:c>
      <x:c r="C15" s="35" t="str">
        <x:v>诅咒•天地乖离开辟之星</x:v>
      </x:c>
      <x:c r="D15" s="35" t="str">
        <x:v>命运改件</x:v>
      </x:c>
      <x:c r="E15" s="35" t="str">
        <x:v>fate_component</x:v>
      </x:c>
      <x:c r="F15" s="35" t="str">
        <x:v>是</x:v>
      </x:c>
      <x:c r="G15" s="35" t="str">
        <x:v>是</x:v>
      </x:c>
      <x:c r="H15" s="35" t="str"/>
      <x:c r="I15" s="35" t="str"/>
      <x:c r="J15" s="35" t="str">
        <x:v>assets/currency_wars_equipment_icons/currency_wars_equipment_014.png</x:v>
      </x:c>
      <x:c r="K15" s="35" t="str">
        <x:v>cc6f1dc7a6bca0646026af6139c43c658e6182fbd686040f58dcd24de89d2963</x:v>
      </x:c>
      <x:c r="L15" s="35" t="str">
        <x:v>cc6f1dc7a6bca0646026af6139c43c658e6182fbd686040f58dcd24de89d2963</x:v>
      </x:c>
      <x:c r="M15" s="36" t="b">
        <x:v>1</x:v>
      </x:c>
      <x:c r="N15" s="39" t="n">
        <x:f>COUNTIF($L$2:$L$158,L15)</x:f>
        <x:v>3</x:v>
      </x:c>
      <x:c r="O15" s="39" t="str">
        <x:v>004；007；014</x:v>
      </x:c>
      <x:c r="P15" s="39" t="str">
        <x:v>天地乖离开辟之星；极•天地乖离开辟之星；诅咒•天地乖离开辟之星</x:v>
      </x:c>
      <x:c r="Q15" s="35" t="n">
        <x:v>32624</x:v>
      </x:c>
      <x:c r="R15" s="35" t="n">
        <x:v>128</x:v>
      </x:c>
      <x:c r="S15" s="35" t="n">
        <x:v>128</x:v>
      </x:c>
      <x:c r="T15" s="35" t="str">
        <x:v>https://patchwiki.biligame.com/images/sr/b/bc/jl72tex7wlvns8yo9xeqj1u1qbo67zw.png</x:v>
      </x:c>
      <x:c r="U15" s="35" t="str">
        <x:v>https://wiki.biligame.com/sr/%E8%AF%85%E5%92%92%E2%80%A2%E5%A4%A9%E5%9C%B0%E4%B9%96%E7%A6%BB%E5%BC%80%E8%BE%9F%E4%B9%8B%E6%98%9F</x:v>
      </x:c>
      <x:c r="V15" s="35" t="n">
        <x:v>99085</x:v>
      </x:c>
      <x:c r="W15" s="35" t="n">
        <x:v>200</x:v>
      </x:c>
      <x:c r="X15" s="35" t="str">
        <x:v>cc6f1dc7a6bca0646026af6139c43c658e6182fbd686040f58dcd24de89d2963</x:v>
      </x:c>
      <x:c r="Y15" s="36" t="b">
        <x:v>1</x:v>
      </x:c>
      <x:c r="Z15" s="36" t="b">
        <x:v>1</x:v>
      </x:c>
      <x:c r="AA15" s="35" t="str">
        <x:v>页面实证通过</x:v>
      </x:c>
      <x:c r="AB15" s="35" t="str">
        <x:v>诅咒•天地乖离开辟之星 - 崩坏：星穹铁道WIKI_BWIKI_哔哩哔哩</x:v>
      </x:c>
      <x:c r="AC15" s="35" t="str">
        <x:v>equipment-contact-01.png</x:v>
      </x:c>
      <x:c r="AD15" s="35" t="str">
        <x:v>第3行第4列</x:v>
      </x:c>
      <x:c r="AE15" s="35" t="str">
        <x:v>逐项可见；未见空白、破损、异常裁切或相邻错位</x:v>
      </x:c>
      <x:c r="AF15" s="35" t="str">
        <x:v>同图多ID；识别时必须保留CandidateIds/Unknown，不得强收敛</x:v>
      </x:c>
      <x:c r="AG15" s="35" t="str">
        <x:v>BWIKI oldid=99085+PatchWiki；米游社官方资料仅提供玩法或少量条目补充</x:v>
      </x:c>
      <x:c r="AH15" s="35" t="str">
        <x:v>仅凭图标无法区分本簇具体ID</x:v>
      </x:c>
      <x:c r="AI15" s="40" t="str">
        <x:f>IF(OR(K15&lt;&gt;L15,M15&lt;&gt;TRUE,Y15&lt;&gt;TRUE,Z15&lt;&gt;TRUE),"冲突",IF(OR(D15="？",D15="？？？"),"分类冲突待确认",IF(N15&gt;1,"图标一致；具体ID不唯一","图标/名称/来源无已发现冲突")))</x:f>
        <x:v>图标一致；具体ID不唯一</x:v>
      </x:c>
    </x:row>
    <x:row r="16" ht="38" customHeight="1">
      <x:c r="A16" s="35" t="n">
        <x:v>15</x:v>
      </x:c>
      <x:c r="B16" s="35" t="str">
        <x:v>currency_wars_equipment_015</x:v>
      </x:c>
      <x:c r="C16" s="35" t="str">
        <x:v>诅咒•宝石剑泽尔里奇</x:v>
      </x:c>
      <x:c r="D16" s="35" t="str">
        <x:v>命运改件</x:v>
      </x:c>
      <x:c r="E16" s="35" t="str">
        <x:v>fate_component</x:v>
      </x:c>
      <x:c r="F16" s="35" t="str">
        <x:v>是</x:v>
      </x:c>
      <x:c r="G16" s="35" t="str">
        <x:v>是</x:v>
      </x:c>
      <x:c r="H16" s="35" t="str"/>
      <x:c r="I16" s="35" t="str"/>
      <x:c r="J16" s="35" t="str">
        <x:v>assets/currency_wars_equipment_icons/currency_wars_equipment_015.png</x:v>
      </x:c>
      <x:c r="K16" s="35" t="str">
        <x:v>01b3a550d1ab3f78d27ba856e15c50a3c05c399f9a281ae4ad7352dced994f0f</x:v>
      </x:c>
      <x:c r="L16" s="35" t="str">
        <x:v>01b3a550d1ab3f78d27ba856e15c50a3c05c399f9a281ae4ad7352dced994f0f</x:v>
      </x:c>
      <x:c r="M16" s="36" t="b">
        <x:v>1</x:v>
      </x:c>
      <x:c r="N16" s="39" t="n">
        <x:f>COUNTIF($L$2:$L$158,L16)</x:f>
        <x:v>3</x:v>
      </x:c>
      <x:c r="O16" s="39" t="str">
        <x:v>005；008；015</x:v>
      </x:c>
      <x:c r="P16" s="39" t="str">
        <x:v>宝石剑泽尔里奇；极•宝石剑泽尔里奇；诅咒•宝石剑泽尔里奇</x:v>
      </x:c>
      <x:c r="Q16" s="35" t="n">
        <x:v>26921</x:v>
      </x:c>
      <x:c r="R16" s="35" t="n">
        <x:v>128</x:v>
      </x:c>
      <x:c r="S16" s="35" t="n">
        <x:v>128</x:v>
      </x:c>
      <x:c r="T16" s="35" t="str">
        <x:v>https://patchwiki.biligame.com/images/sr/4/44/7vt0o74f8dyheiguftbnclyuretmfc1.png</x:v>
      </x:c>
      <x:c r="U16" s="35" t="str">
        <x:v>https://wiki.biligame.com/sr/%E8%AF%85%E5%92%92%E2%80%A2%E5%AE%9D%E7%9F%B3%E5%89%91%E6%B3%BD%E5%B0%94%E9%87%8C%E5%A5%87</x:v>
      </x:c>
      <x:c r="V16" s="35" t="n">
        <x:v>99085</x:v>
      </x:c>
      <x:c r="W16" s="35" t="n">
        <x:v>200</x:v>
      </x:c>
      <x:c r="X16" s="35" t="str">
        <x:v>01b3a550d1ab3f78d27ba856e15c50a3c05c399f9a281ae4ad7352dced994f0f</x:v>
      </x:c>
      <x:c r="Y16" s="36" t="b">
        <x:v>1</x:v>
      </x:c>
      <x:c r="Z16" s="36" t="b">
        <x:v>1</x:v>
      </x:c>
      <x:c r="AA16" s="35" t="str">
        <x:v>页面实证通过</x:v>
      </x:c>
      <x:c r="AB16" s="35" t="str">
        <x:v>诅咒•宝石剑泽尔里奇 - 崩坏：星穹铁道WIKI_BWIKI_哔哩哔哩</x:v>
      </x:c>
      <x:c r="AC16" s="35" t="str">
        <x:v>equipment-contact-01.png</x:v>
      </x:c>
      <x:c r="AD16" s="35" t="str">
        <x:v>第3行第5列</x:v>
      </x:c>
      <x:c r="AE16" s="35" t="str">
        <x:v>逐项可见；未见空白、破损、异常裁切或相邻错位</x:v>
      </x:c>
      <x:c r="AF16" s="35" t="str">
        <x:v>同图多ID；识别时必须保留CandidateIds/Unknown，不得强收敛</x:v>
      </x:c>
      <x:c r="AG16" s="35" t="str">
        <x:v>BWIKI oldid=99085+PatchWiki；米游社官方资料仅提供玩法或少量条目补充</x:v>
      </x:c>
      <x:c r="AH16" s="35" t="str">
        <x:v>仅凭图标无法区分本簇具体ID</x:v>
      </x:c>
      <x:c r="AI16" s="40" t="str">
        <x:f>IF(OR(K16&lt;&gt;L16,M16&lt;&gt;TRUE,Y16&lt;&gt;TRUE,Z16&lt;&gt;TRUE),"冲突",IF(OR(D16="？",D16="？？？"),"分类冲突待确认",IF(N16&gt;1,"图标一致；具体ID不唯一","图标/名称/来源无已发现冲突")))</x:f>
        <x:v>图标一致；具体ID不唯一</x:v>
      </x:c>
    </x:row>
    <x:row r="17" ht="38" customHeight="1">
      <x:c r="A17" s="35" t="n">
        <x:v>16</x:v>
      </x:c>
      <x:c r="B17" s="35" t="str">
        <x:v>currency_wars_equipment_016</x:v>
      </x:c>
      <x:c r="C17" s="35" t="str">
        <x:v>诅咒•干将莫邪</x:v>
      </x:c>
      <x:c r="D17" s="35" t="str">
        <x:v>命运改件</x:v>
      </x:c>
      <x:c r="E17" s="35" t="str">
        <x:v>fate_component</x:v>
      </x:c>
      <x:c r="F17" s="35" t="str">
        <x:v>是</x:v>
      </x:c>
      <x:c r="G17" s="35" t="str">
        <x:v>是</x:v>
      </x:c>
      <x:c r="H17" s="35" t="str"/>
      <x:c r="I17" s="35" t="str"/>
      <x:c r="J17" s="35" t="str">
        <x:v>assets/currency_wars_equipment_icons/currency_wars_equipment_016.png</x:v>
      </x:c>
      <x:c r="K17" s="35" t="str">
        <x:v>8acf2cd30d8767f494c80a77d6b34df19bde721eddcbdddfcf4002161122e1ca</x:v>
      </x:c>
      <x:c r="L17" s="35" t="str">
        <x:v>8acf2cd30d8767f494c80a77d6b34df19bde721eddcbdddfcf4002161122e1ca</x:v>
      </x:c>
      <x:c r="M17" s="36" t="b">
        <x:v>1</x:v>
      </x:c>
      <x:c r="N17" s="39" t="n">
        <x:f>COUNTIF($L$2:$L$158,L17)</x:f>
        <x:v>3</x:v>
      </x:c>
      <x:c r="O17" s="39" t="str">
        <x:v>006；009；016</x:v>
      </x:c>
      <x:c r="P17" s="39" t="str">
        <x:v>干将莫邪；极•干将莫邪；诅咒•干将莫邪</x:v>
      </x:c>
      <x:c r="Q17" s="35" t="n">
        <x:v>31431</x:v>
      </x:c>
      <x:c r="R17" s="35" t="n">
        <x:v>128</x:v>
      </x:c>
      <x:c r="S17" s="35" t="n">
        <x:v>128</x:v>
      </x:c>
      <x:c r="T17" s="35" t="str">
        <x:v>https://patchwiki.biligame.com/images/sr/a/a7/ggxm1iskstxe4qlaxb4g2mk6q9v8r1g.png</x:v>
      </x:c>
      <x:c r="U17" s="35" t="str">
        <x:v>https://wiki.biligame.com/sr/%E8%AF%85%E5%92%92%E2%80%A2%E5%B9%B2%E5%B0%86%E8%8E%AB%E9%82%AA</x:v>
      </x:c>
      <x:c r="V17" s="35" t="n">
        <x:v>99085</x:v>
      </x:c>
      <x:c r="W17" s="35" t="n">
        <x:v>200</x:v>
      </x:c>
      <x:c r="X17" s="35" t="str">
        <x:v>8acf2cd30d8767f494c80a77d6b34df19bde721eddcbdddfcf4002161122e1ca</x:v>
      </x:c>
      <x:c r="Y17" s="36" t="b">
        <x:v>1</x:v>
      </x:c>
      <x:c r="Z17" s="36" t="b">
        <x:v>1</x:v>
      </x:c>
      <x:c r="AA17" s="35" t="str">
        <x:v>页面实证通过</x:v>
      </x:c>
      <x:c r="AB17" s="35" t="str">
        <x:v>诅咒•干将莫邪 - 崩坏：星穹铁道WIKI_BWIKI_哔哩哔哩</x:v>
      </x:c>
      <x:c r="AC17" s="35" t="str">
        <x:v>equipment-contact-01.png</x:v>
      </x:c>
      <x:c r="AD17" s="35" t="str">
        <x:v>第4行第1列</x:v>
      </x:c>
      <x:c r="AE17" s="35" t="str">
        <x:v>逐项可见；未见空白、破损、异常裁切或相邻错位</x:v>
      </x:c>
      <x:c r="AF17" s="35" t="str">
        <x:v>同图多ID；识别时必须保留CandidateIds/Unknown，不得强收敛</x:v>
      </x:c>
      <x:c r="AG17" s="35" t="str">
        <x:v>BWIKI oldid=99085+PatchWiki；米游社官方资料仅提供玩法或少量条目补充</x:v>
      </x:c>
      <x:c r="AH17" s="35" t="str">
        <x:v>仅凭图标无法区分本簇具体ID</x:v>
      </x:c>
      <x:c r="AI17" s="40" t="str">
        <x:f>IF(OR(K17&lt;&gt;L17,M17&lt;&gt;TRUE,Y17&lt;&gt;TRUE,Z17&lt;&gt;TRUE),"冲突",IF(OR(D17="？",D17="？？？"),"分类冲突待确认",IF(N17&gt;1,"图标一致；具体ID不唯一","图标/名称/来源无已发现冲突")))</x:f>
        <x:v>图标一致；具体ID不唯一</x:v>
      </x:c>
    </x:row>
    <x:row r="18" ht="38" customHeight="1">
      <x:c r="A18" s="35" t="n">
        <x:v>17</x:v>
      </x:c>
      <x:c r="B18" s="35" t="str">
        <x:v>currency_wars_equipment_017</x:v>
      </x:c>
      <x:c r="C18" s="35" t="str">
        <x:v>诅咒•阿瓦隆</x:v>
      </x:c>
      <x:c r="D18" s="35" t="str">
        <x:v>命运改件</x:v>
      </x:c>
      <x:c r="E18" s="35" t="str">
        <x:v>fate_component</x:v>
      </x:c>
      <x:c r="F18" s="35" t="str">
        <x:v>是</x:v>
      </x:c>
      <x:c r="G18" s="35" t="str">
        <x:v>是</x:v>
      </x:c>
      <x:c r="H18" s="35" t="str"/>
      <x:c r="I18" s="35" t="str"/>
      <x:c r="J18" s="35" t="str">
        <x:v>assets/currency_wars_equipment_icons/currency_wars_equipment_017.png</x:v>
      </x:c>
      <x:c r="K18" s="35" t="str">
        <x:v>f3bed270b62a20ee5b4fd20767f8490872a12d701bdbd3f86783fbdf0128fb20</x:v>
      </x:c>
      <x:c r="L18" s="35" t="str">
        <x:v>f3bed270b62a20ee5b4fd20767f8490872a12d701bdbd3f86783fbdf0128fb20</x:v>
      </x:c>
      <x:c r="M18" s="36" t="b">
        <x:v>1</x:v>
      </x:c>
      <x:c r="N18" s="39" t="n">
        <x:f>COUNTIF($L$2:$L$158,L18)</x:f>
        <x:v>3</x:v>
      </x:c>
      <x:c r="O18" s="39" t="str">
        <x:v>010；017；020</x:v>
      </x:c>
      <x:c r="P18" s="39" t="str">
        <x:v>极•阿瓦隆；诅咒•阿瓦隆；阿瓦隆</x:v>
      </x:c>
      <x:c r="Q18" s="35" t="n">
        <x:v>30646</x:v>
      </x:c>
      <x:c r="R18" s="35" t="n">
        <x:v>128</x:v>
      </x:c>
      <x:c r="S18" s="35" t="n">
        <x:v>128</x:v>
      </x:c>
      <x:c r="T18" s="35" t="str">
        <x:v>https://patchwiki.biligame.com/images/sr/9/99/iht3g55xaq1r666csbnjpbfc7onrud7.png</x:v>
      </x:c>
      <x:c r="U18" s="35" t="str">
        <x:v>https://wiki.biligame.com/sr/%E8%AF%85%E5%92%92%E2%80%A2%E9%98%BF%E7%93%A6%E9%9A%86</x:v>
      </x:c>
      <x:c r="V18" s="35" t="n">
        <x:v>99085</x:v>
      </x:c>
      <x:c r="W18" s="35" t="n">
        <x:v>200</x:v>
      </x:c>
      <x:c r="X18" s="35" t="str">
        <x:v>f3bed270b62a20ee5b4fd20767f8490872a12d701bdbd3f86783fbdf0128fb20</x:v>
      </x:c>
      <x:c r="Y18" s="36" t="b">
        <x:v>1</x:v>
      </x:c>
      <x:c r="Z18" s="36" t="b">
        <x:v>1</x:v>
      </x:c>
      <x:c r="AA18" s="35" t="str">
        <x:v>页面实证通过</x:v>
      </x:c>
      <x:c r="AB18" s="35" t="str">
        <x:v>诅咒•阿瓦隆 - 崩坏：星穹铁道WIKI_BWIKI_哔哩哔哩</x:v>
      </x:c>
      <x:c r="AC18" s="35" t="str">
        <x:v>equipment-contact-01.png</x:v>
      </x:c>
      <x:c r="AD18" s="35" t="str">
        <x:v>第4行第2列</x:v>
      </x:c>
      <x:c r="AE18" s="35" t="str">
        <x:v>逐项可见；未见空白、破损、异常裁切或相邻错位</x:v>
      </x:c>
      <x:c r="AF18" s="35" t="str">
        <x:v>同图多ID；识别时必须保留CandidateIds/Unknown，不得强收敛</x:v>
      </x:c>
      <x:c r="AG18" s="35" t="str">
        <x:v>BWIKI oldid=99085+PatchWiki；米游社官方资料仅提供玩法或少量条目补充</x:v>
      </x:c>
      <x:c r="AH18" s="35" t="str">
        <x:v>仅凭图标无法区分本簇具体ID</x:v>
      </x:c>
      <x:c r="AI18" s="40" t="str">
        <x:f>IF(OR(K18&lt;&gt;L18,M18&lt;&gt;TRUE,Y18&lt;&gt;TRUE,Z18&lt;&gt;TRUE),"冲突",IF(OR(D18="？",D18="？？？"),"分类冲突待确认",IF(N18&gt;1,"图标一致；具体ID不唯一","图标/名称/来源无已发现冲突")))</x:f>
        <x:v>图标一致；具体ID不唯一</x:v>
      </x:c>
    </x:row>
    <x:row r="19" ht="38" customHeight="1">
      <x:c r="A19" s="35" t="n">
        <x:v>18</x:v>
      </x:c>
      <x:c r="B19" s="35" t="str">
        <x:v>currency_wars_equipment_020</x:v>
      </x:c>
      <x:c r="C19" s="35" t="str">
        <x:v>阿瓦隆</x:v>
      </x:c>
      <x:c r="D19" s="35" t="str">
        <x:v>命运改件</x:v>
      </x:c>
      <x:c r="E19" s="35" t="str">
        <x:v>fate_component</x:v>
      </x:c>
      <x:c r="F19" s="35" t="str">
        <x:v>是</x:v>
      </x:c>
      <x:c r="G19" s="35" t="str">
        <x:v>是</x:v>
      </x:c>
      <x:c r="H19" s="35" t="str"/>
      <x:c r="I19" s="35" t="str"/>
      <x:c r="J19" s="35" t="str">
        <x:v>assets/currency_wars_equipment_icons/currency_wars_equipment_020.png</x:v>
      </x:c>
      <x:c r="K19" s="35" t="str">
        <x:v>f3bed270b62a20ee5b4fd20767f8490872a12d701bdbd3f86783fbdf0128fb20</x:v>
      </x:c>
      <x:c r="L19" s="35" t="str">
        <x:v>f3bed270b62a20ee5b4fd20767f8490872a12d701bdbd3f86783fbdf0128fb20</x:v>
      </x:c>
      <x:c r="M19" s="36" t="b">
        <x:v>1</x:v>
      </x:c>
      <x:c r="N19" s="39" t="n">
        <x:f>COUNTIF($L$2:$L$158,L19)</x:f>
        <x:v>3</x:v>
      </x:c>
      <x:c r="O19" s="39" t="str">
        <x:v>010；017；020</x:v>
      </x:c>
      <x:c r="P19" s="39" t="str">
        <x:v>极•阿瓦隆；诅咒•阿瓦隆；阿瓦隆</x:v>
      </x:c>
      <x:c r="Q19" s="35" t="n">
        <x:v>30646</x:v>
      </x:c>
      <x:c r="R19" s="35" t="n">
        <x:v>128</x:v>
      </x:c>
      <x:c r="S19" s="35" t="n">
        <x:v>128</x:v>
      </x:c>
      <x:c r="T19" s="35" t="str">
        <x:v>https://patchwiki.biligame.com/images/sr/4/47/iht3g55xaq1r666csbnjpbfc7onrud7.png</x:v>
      </x:c>
      <x:c r="U19" s="35" t="str">
        <x:v>https://wiki.biligame.com/sr/%E9%98%BF%E7%93%A6%E9%9A%86</x:v>
      </x:c>
      <x:c r="V19" s="35" t="n">
        <x:v>99085</x:v>
      </x:c>
      <x:c r="W19" s="35" t="n">
        <x:v>200</x:v>
      </x:c>
      <x:c r="X19" s="35" t="str">
        <x:v>f3bed270b62a20ee5b4fd20767f8490872a12d701bdbd3f86783fbdf0128fb20</x:v>
      </x:c>
      <x:c r="Y19" s="36" t="b">
        <x:v>1</x:v>
      </x:c>
      <x:c r="Z19" s="36" t="b">
        <x:v>1</x:v>
      </x:c>
      <x:c r="AA19" s="35" t="str">
        <x:v>HTTP 567（限流/反爬）</x:v>
      </x:c>
      <x:c r="AB19" s="35" t="str"/>
      <x:c r="AC19" s="35" t="str">
        <x:v>equipment-contact-01.png</x:v>
      </x:c>
      <x:c r="AD19" s="35" t="str">
        <x:v>第4行第3列</x:v>
      </x:c>
      <x:c r="AE19" s="35" t="str">
        <x:v>逐项可见；未见空白、破损、异常裁切或相邻错位</x:v>
      </x:c>
      <x:c r="AF19" s="35" t="str">
        <x:v>同图多ID；识别时必须保留CandidateIds/Unknown，不得强收敛</x:v>
      </x:c>
      <x:c r="AG19" s="35" t="str">
        <x:v>BWIKI oldid=99085+PatchWiki；米游社官方资料仅提供玩法或少量条目补充</x:v>
      </x:c>
      <x:c r="AH19" s="35" t="str">
        <x:v>仅凭图标无法区分本簇具体ID</x:v>
      </x:c>
      <x:c r="AI19" s="40" t="str">
        <x:f>IF(OR(K19&lt;&gt;L19,M19&lt;&gt;TRUE,Y19&lt;&gt;TRUE,Z19&lt;&gt;TRUE),"冲突",IF(OR(D19="？",D19="？？？"),"分类冲突待确认",IF(N19&gt;1,"图标一致；具体ID不唯一","图标/名称/来源无已发现冲突")))</x:f>
        <x:v>图标一致；具体ID不唯一</x:v>
      </x:c>
    </x:row>
    <x:row r="20" ht="38" customHeight="1">
      <x:c r="A20" s="35" t="n">
        <x:v>19</x:v>
      </x:c>
      <x:c r="B20" s="35" t="str">
        <x:v>currency_wars_equipment_021</x:v>
      </x:c>
      <x:c r="C20" s="35" t="str">
        <x:v>欢愉星徽</x:v>
      </x:c>
      <x:c r="D20" s="35" t="str">
        <x:v>流派星徽</x:v>
      </x:c>
      <x:c r="E20" s="35" t="str">
        <x:v>style_emblem</x:v>
      </x:c>
      <x:c r="F20" s="35" t="str">
        <x:v>是</x:v>
      </x:c>
      <x:c r="G20" s="35" t="str">
        <x:v>是</x:v>
      </x:c>
      <x:c r="H20" s="35" t="str"/>
      <x:c r="I20" s="35" t="str">
        <x:v>currency_wars_equipment_084；currency_wars_equipment_038</x:v>
      </x:c>
      <x:c r="J20" s="35" t="str">
        <x:v>assets/currency_wars_equipment_icons/currency_wars_equipment_021.png</x:v>
      </x:c>
      <x:c r="K20" s="35" t="str">
        <x:v>5790f420123a8c5c13f73666891d70bc7384c7061d990ecbc7071d6ebb073f12</x:v>
      </x:c>
      <x:c r="L20" s="35" t="str">
        <x:v>5790f420123a8c5c13f73666891d70bc7384c7061d990ecbc7071d6ebb073f12</x:v>
      </x:c>
      <x:c r="M20" s="36" t="b">
        <x:v>1</x:v>
      </x:c>
      <x:c r="N20" s="35" t="n">
        <x:f>COUNTIF($L$2:$L$158,L20)</x:f>
        <x:v>1</x:v>
      </x:c>
      <x:c r="O20" s="35" t="str">
        <x:v>021</x:v>
      </x:c>
      <x:c r="P20" s="35" t="str">
        <x:v>欢愉星徽</x:v>
      </x:c>
      <x:c r="Q20" s="35" t="n">
        <x:v>33358</x:v>
      </x:c>
      <x:c r="R20" s="35" t="n">
        <x:v>128</x:v>
      </x:c>
      <x:c r="S20" s="35" t="n">
        <x:v>128</x:v>
      </x:c>
      <x:c r="T20" s="35" t="str">
        <x:v>https://patchwiki.biligame.com/images/sr/e/e8/tstujhmze6hmqvrfdkz87iwad9x9ea1.png</x:v>
      </x:c>
      <x:c r="U20" s="35" t="str">
        <x:v>https://wiki.biligame.com/sr/%E6%AC%A2%E6%84%89%E6%98%9F%E5%BE%BD</x:v>
      </x:c>
      <x:c r="V20" s="35" t="n">
        <x:v>99085</x:v>
      </x:c>
      <x:c r="W20" s="35" t="n">
        <x:v>200</x:v>
      </x:c>
      <x:c r="X20" s="35" t="str">
        <x:v>5790f420123a8c5c13f73666891d70bc7384c7061d990ecbc7071d6ebb073f12</x:v>
      </x:c>
      <x:c r="Y20" s="36" t="b">
        <x:v>1</x:v>
      </x:c>
      <x:c r="Z20" s="36" t="b">
        <x:v>1</x:v>
      </x:c>
      <x:c r="AA20" s="35" t="str">
        <x:v>HTTP 567（限流/反爬）</x:v>
      </x:c>
      <x:c r="AB20" s="35" t="str"/>
      <x:c r="AC20" s="35" t="str">
        <x:v>equipment-contact-01.png</x:v>
      </x:c>
      <x:c r="AD20" s="35" t="str">
        <x:v>第4行第4列</x:v>
      </x:c>
      <x:c r="AE20" s="35" t="str">
        <x:v>逐项可见；未见空白、破损、异常裁切或相邻错位</x:v>
      </x:c>
      <x:c r="AF20" s="35" t="str">
        <x:v>本地哈希唯一；未发现图标与名称错位</x:v>
      </x:c>
      <x:c r="AG20" s="35" t="str">
        <x:v>BWIKI oldid=99085+PatchWiki；米游社官方V4.2直接支持欢愉星徽名称/效果（不提供单项图标）</x:v>
      </x:c>
      <x:c r="AH20" s="35" t="str">
        <x:v>单条详情页本轮受限流/反爬影响，未获得独立页面实证</x:v>
      </x:c>
      <x:c r="AI20" s="38" t="str">
        <x:f>IF(OR(K20&lt;&gt;L20,M20&lt;&gt;TRUE,Y20&lt;&gt;TRUE,Z20&lt;&gt;TRUE),"冲突",IF(OR(D20="？",D20="？？？"),"分类冲突待确认",IF(N20&gt;1,"图标一致；具体ID不唯一","图标/名称/来源无已发现冲突")))</x:f>
        <x:v>图标/名称/来源无已发现冲突</x:v>
      </x:c>
    </x:row>
    <x:row r="21" ht="38" customHeight="1">
      <x:c r="A21" s="35" t="n">
        <x:v>20</x:v>
      </x:c>
      <x:c r="B21" s="35" t="str">
        <x:v>currency_wars_equipment_022</x:v>
      </x:c>
      <x:c r="C21" s="35" t="str">
        <x:v>分身墨镜</x:v>
      </x:c>
      <x:c r="D21" s="35" t="str">
        <x:v>骇客改件</x:v>
      </x:c>
      <x:c r="E21" s="35" t="str">
        <x:v>hacking_component</x:v>
      </x:c>
      <x:c r="F21" s="35" t="str">
        <x:v>是</x:v>
      </x:c>
      <x:c r="G21" s="35" t="str">
        <x:v>否</x:v>
      </x:c>
      <x:c r="H21" s="35" t="str"/>
      <x:c r="I21" s="35" t="str"/>
      <x:c r="J21" s="35" t="str">
        <x:v>assets/currency_wars_equipment_icons/currency_wars_equipment_022.png</x:v>
      </x:c>
      <x:c r="K21" s="35" t="str">
        <x:v>f0441e17ce30349f9454dc72c5730e631a70843499c9b1692d410783a8b914ea</x:v>
      </x:c>
      <x:c r="L21" s="35" t="str">
        <x:v>f0441e17ce30349f9454dc72c5730e631a70843499c9b1692d410783a8b914ea</x:v>
      </x:c>
      <x:c r="M21" s="36" t="b">
        <x:v>1</x:v>
      </x:c>
      <x:c r="N21" s="39" t="n">
        <x:f>COUNTIF($L$2:$L$158,L21)</x:f>
        <x:v>2</x:v>
      </x:c>
      <x:c r="O21" s="39" t="str">
        <x:v>022；023</x:v>
      </x:c>
      <x:c r="P21" s="39" t="str">
        <x:v>分身墨镜；分身墨镜Max</x:v>
      </x:c>
      <x:c r="Q21" s="35" t="n">
        <x:v>26569</x:v>
      </x:c>
      <x:c r="R21" s="35" t="n">
        <x:v>128</x:v>
      </x:c>
      <x:c r="S21" s="35" t="n">
        <x:v>128</x:v>
      </x:c>
      <x:c r="T21" s="35" t="str">
        <x:v>https://patchwiki.biligame.com/images/sr/1/1a/emh3rn2idwueurtdyfysii3x8catb5o.png</x:v>
      </x:c>
      <x:c r="U21" s="35" t="str">
        <x:v>https://wiki.biligame.com/sr/%E5%88%86%E8%BA%AB%E5%A2%A8%E9%95%9C</x:v>
      </x:c>
      <x:c r="V21" s="35" t="n">
        <x:v>99085</x:v>
      </x:c>
      <x:c r="W21" s="35" t="n">
        <x:v>200</x:v>
      </x:c>
      <x:c r="X21" s="35" t="str">
        <x:v>f0441e17ce30349f9454dc72c5730e631a70843499c9b1692d410783a8b914ea</x:v>
      </x:c>
      <x:c r="Y21" s="36" t="b">
        <x:v>1</x:v>
      </x:c>
      <x:c r="Z21" s="36" t="b">
        <x:v>1</x:v>
      </x:c>
      <x:c r="AA21" s="35" t="str">
        <x:v>HTTP 567（限流/反爬）</x:v>
      </x:c>
      <x:c r="AB21" s="35" t="str"/>
      <x:c r="AC21" s="35" t="str">
        <x:v>equipment-contact-01.png</x:v>
      </x:c>
      <x:c r="AD21" s="35" t="str">
        <x:v>第4行第5列</x:v>
      </x:c>
      <x:c r="AE21" s="35" t="str">
        <x:v>逐项可见；未见空白、破损、异常裁切或相邻错位</x:v>
      </x:c>
      <x:c r="AF21" s="35" t="str">
        <x:v>同图多ID；识别时必须保留CandidateIds/Unknown，不得强收敛</x:v>
      </x:c>
      <x:c r="AG21" s="35" t="str">
        <x:v>BWIKI oldid=99085+PatchWiki；米游社官方V4.2仅支持骇客改件类别语义，不逐项支持16个子名称/图标</x:v>
      </x:c>
      <x:c r="AH21" s="35" t="str">
        <x:v>仅凭图标无法区分本簇具体ID</x:v>
      </x:c>
      <x:c r="AI21" s="40" t="str">
        <x:f>IF(OR(K21&lt;&gt;L21,M21&lt;&gt;TRUE,Y21&lt;&gt;TRUE,Z21&lt;&gt;TRUE),"冲突",IF(OR(D21="？",D21="？？？"),"分类冲突待确认",IF(N21&gt;1,"图标一致；具体ID不唯一","图标/名称/来源无已发现冲突")))</x:f>
        <x:v>图标一致；具体ID不唯一</x:v>
      </x:c>
    </x:row>
    <x:row r="22" ht="38" customHeight="1">
      <x:c r="A22" s="35" t="n">
        <x:v>21</x:v>
      </x:c>
      <x:c r="B22" s="35" t="str">
        <x:v>currency_wars_equipment_023</x:v>
      </x:c>
      <x:c r="C22" s="35" t="str">
        <x:v>分身墨镜Max</x:v>
      </x:c>
      <x:c r="D22" s="35" t="str">
        <x:v>骇客改件</x:v>
      </x:c>
      <x:c r="E22" s="35" t="str">
        <x:v>hacking_component</x:v>
      </x:c>
      <x:c r="F22" s="35" t="str">
        <x:v>是</x:v>
      </x:c>
      <x:c r="G22" s="35" t="str">
        <x:v>否</x:v>
      </x:c>
      <x:c r="H22" s="35" t="str"/>
      <x:c r="I22" s="35" t="str"/>
      <x:c r="J22" s="35" t="str">
        <x:v>assets/currency_wars_equipment_icons/currency_wars_equipment_023.png</x:v>
      </x:c>
      <x:c r="K22" s="35" t="str">
        <x:v>f0441e17ce30349f9454dc72c5730e631a70843499c9b1692d410783a8b914ea</x:v>
      </x:c>
      <x:c r="L22" s="35" t="str">
        <x:v>f0441e17ce30349f9454dc72c5730e631a70843499c9b1692d410783a8b914ea</x:v>
      </x:c>
      <x:c r="M22" s="36" t="b">
        <x:v>1</x:v>
      </x:c>
      <x:c r="N22" s="39" t="n">
        <x:f>COUNTIF($L$2:$L$158,L22)</x:f>
        <x:v>2</x:v>
      </x:c>
      <x:c r="O22" s="39" t="str">
        <x:v>022；023</x:v>
      </x:c>
      <x:c r="P22" s="39" t="str">
        <x:v>分身墨镜；分身墨镜Max</x:v>
      </x:c>
      <x:c r="Q22" s="35" t="n">
        <x:v>26569</x:v>
      </x:c>
      <x:c r="R22" s="35" t="n">
        <x:v>128</x:v>
      </x:c>
      <x:c r="S22" s="35" t="n">
        <x:v>128</x:v>
      </x:c>
      <x:c r="T22" s="35" t="str">
        <x:v>https://patchwiki.biligame.com/images/sr/8/87/emh3rn2idwueurtdyfysii3x8catb5o.png</x:v>
      </x:c>
      <x:c r="U22" s="35" t="str">
        <x:v>https://wiki.biligame.com/sr/%E5%88%86%E8%BA%AB%E5%A2%A8%E9%95%9CMax</x:v>
      </x:c>
      <x:c r="V22" s="35" t="n">
        <x:v>99085</x:v>
      </x:c>
      <x:c r="W22" s="35" t="n">
        <x:v>200</x:v>
      </x:c>
      <x:c r="X22" s="35" t="str">
        <x:v>f0441e17ce30349f9454dc72c5730e631a70843499c9b1692d410783a8b914ea</x:v>
      </x:c>
      <x:c r="Y22" s="36" t="b">
        <x:v>1</x:v>
      </x:c>
      <x:c r="Z22" s="36" t="b">
        <x:v>1</x:v>
      </x:c>
      <x:c r="AA22" s="35" t="str">
        <x:v>HTTP 567（限流/反爬）</x:v>
      </x:c>
      <x:c r="AB22" s="35" t="str"/>
      <x:c r="AC22" s="35" t="str">
        <x:v>equipment-contact-02.png</x:v>
      </x:c>
      <x:c r="AD22" s="35" t="str">
        <x:v>第1行第1列</x:v>
      </x:c>
      <x:c r="AE22" s="35" t="str">
        <x:v>逐项可见；未见空白、破损、异常裁切或相邻错位</x:v>
      </x:c>
      <x:c r="AF22" s="35" t="str">
        <x:v>同图多ID；识别时必须保留CandidateIds/Unknown，不得强收敛</x:v>
      </x:c>
      <x:c r="AG22" s="35" t="str">
        <x:v>BWIKI oldid=99085+PatchWiki；米游社官方V4.2仅支持骇客改件类别语义，不逐项支持16个子名称/图标</x:v>
      </x:c>
      <x:c r="AH22" s="35" t="str">
        <x:v>仅凭图标无法区分本簇具体ID</x:v>
      </x:c>
      <x:c r="AI22" s="40" t="str">
        <x:f>IF(OR(K22&lt;&gt;L22,M22&lt;&gt;TRUE,Y22&lt;&gt;TRUE,Z22&lt;&gt;TRUE),"冲突",IF(OR(D22="？",D22="？？？"),"分类冲突待确认",IF(N22&gt;1,"图标一致；具体ID不唯一","图标/名称/来源无已发现冲突")))</x:f>
        <x:v>图标一致；具体ID不唯一</x:v>
      </x:c>
    </x:row>
    <x:row r="23" ht="38" customHeight="1">
      <x:c r="A23" s="35" t="n">
        <x:v>22</x:v>
      </x:c>
      <x:c r="B23" s="35" t="str">
        <x:v>currency_wars_equipment_024</x:v>
      </x:c>
      <x:c r="C23" s="35" t="str">
        <x:v>扑满病毒</x:v>
      </x:c>
      <x:c r="D23" s="35" t="str">
        <x:v>骇客改件</x:v>
      </x:c>
      <x:c r="E23" s="35" t="str">
        <x:v>hacking_component</x:v>
      </x:c>
      <x:c r="F23" s="35" t="str">
        <x:v>是</x:v>
      </x:c>
      <x:c r="G23" s="35" t="str">
        <x:v>否</x:v>
      </x:c>
      <x:c r="H23" s="35" t="str"/>
      <x:c r="I23" s="35" t="str"/>
      <x:c r="J23" s="35" t="str">
        <x:v>assets/currency_wars_equipment_icons/currency_wars_equipment_024.png</x:v>
      </x:c>
      <x:c r="K23" s="35" t="str">
        <x:v>a1cb19ac93cdcdefe2cf4d4f98e32770f1b60e047b33a25e9e2daee54912419c</x:v>
      </x:c>
      <x:c r="L23" s="35" t="str">
        <x:v>a1cb19ac93cdcdefe2cf4d4f98e32770f1b60e047b33a25e9e2daee54912419c</x:v>
      </x:c>
      <x:c r="M23" s="36" t="b">
        <x:v>1</x:v>
      </x:c>
      <x:c r="N23" s="39" t="n">
        <x:f>COUNTIF($L$2:$L$158,L23)</x:f>
        <x:v>3</x:v>
      </x:c>
      <x:c r="O23" s="39" t="str">
        <x:v>024；025；026</x:v>
      </x:c>
      <x:c r="P23" s="39" t="str">
        <x:v>扑满病毒；扑满病毒Max；扑满病毒Pro</x:v>
      </x:c>
      <x:c r="Q23" s="35" t="n">
        <x:v>22471</x:v>
      </x:c>
      <x:c r="R23" s="35" t="n">
        <x:v>128</x:v>
      </x:c>
      <x:c r="S23" s="35" t="n">
        <x:v>128</x:v>
      </x:c>
      <x:c r="T23" s="35" t="str">
        <x:v>https://patchwiki.biligame.com/images/sr/9/90/b7cdaze07091ukd588kbyjid7md76l7.png</x:v>
      </x:c>
      <x:c r="U23" s="35" t="str">
        <x:v>https://wiki.biligame.com/sr/%E6%89%91%E6%BB%A1%E7%97%85%E6%AF%92</x:v>
      </x:c>
      <x:c r="V23" s="35" t="n">
        <x:v>99085</x:v>
      </x:c>
      <x:c r="W23" s="35" t="n">
        <x:v>200</x:v>
      </x:c>
      <x:c r="X23" s="35" t="str">
        <x:v>a1cb19ac93cdcdefe2cf4d4f98e32770f1b60e047b33a25e9e2daee54912419c</x:v>
      </x:c>
      <x:c r="Y23" s="36" t="b">
        <x:v>1</x:v>
      </x:c>
      <x:c r="Z23" s="36" t="b">
        <x:v>1</x:v>
      </x:c>
      <x:c r="AA23" s="35" t="str">
        <x:v>HTTP 567（限流/反爬）</x:v>
      </x:c>
      <x:c r="AB23" s="35" t="str"/>
      <x:c r="AC23" s="35" t="str">
        <x:v>equipment-contact-02.png</x:v>
      </x:c>
      <x:c r="AD23" s="35" t="str">
        <x:v>第1行第2列</x:v>
      </x:c>
      <x:c r="AE23" s="35" t="str">
        <x:v>逐项可见；未见空白、破损、异常裁切或相邻错位</x:v>
      </x:c>
      <x:c r="AF23" s="35" t="str">
        <x:v>同图多ID；识别时必须保留CandidateIds/Unknown，不得强收敛</x:v>
      </x:c>
      <x:c r="AG23" s="35" t="str">
        <x:v>BWIKI oldid=99085+PatchWiki；米游社官方V4.2仅支持骇客改件类别语义，不逐项支持16个子名称/图标</x:v>
      </x:c>
      <x:c r="AH23" s="35" t="str">
        <x:v>仅凭图标无法区分本簇具体ID</x:v>
      </x:c>
      <x:c r="AI23" s="40" t="str">
        <x:f>IF(OR(K23&lt;&gt;L23,M23&lt;&gt;TRUE,Y23&lt;&gt;TRUE,Z23&lt;&gt;TRUE),"冲突",IF(OR(D23="？",D23="？？？"),"分类冲突待确认",IF(N23&gt;1,"图标一致；具体ID不唯一","图标/名称/来源无已发现冲突")))</x:f>
        <x:v>图标一致；具体ID不唯一</x:v>
      </x:c>
    </x:row>
    <x:row r="24" ht="38" customHeight="1">
      <x:c r="A24" s="35" t="n">
        <x:v>23</x:v>
      </x:c>
      <x:c r="B24" s="35" t="str">
        <x:v>currency_wars_equipment_025</x:v>
      </x:c>
      <x:c r="C24" s="35" t="str">
        <x:v>扑满病毒Max</x:v>
      </x:c>
      <x:c r="D24" s="35" t="str">
        <x:v>骇客改件</x:v>
      </x:c>
      <x:c r="E24" s="35" t="str">
        <x:v>hacking_component</x:v>
      </x:c>
      <x:c r="F24" s="35" t="str">
        <x:v>是</x:v>
      </x:c>
      <x:c r="G24" s="35" t="str">
        <x:v>否</x:v>
      </x:c>
      <x:c r="H24" s="35" t="str"/>
      <x:c r="I24" s="35" t="str"/>
      <x:c r="J24" s="35" t="str">
        <x:v>assets/currency_wars_equipment_icons/currency_wars_equipment_025.png</x:v>
      </x:c>
      <x:c r="K24" s="35" t="str">
        <x:v>a1cb19ac93cdcdefe2cf4d4f98e32770f1b60e047b33a25e9e2daee54912419c</x:v>
      </x:c>
      <x:c r="L24" s="35" t="str">
        <x:v>a1cb19ac93cdcdefe2cf4d4f98e32770f1b60e047b33a25e9e2daee54912419c</x:v>
      </x:c>
      <x:c r="M24" s="36" t="b">
        <x:v>1</x:v>
      </x:c>
      <x:c r="N24" s="39" t="n">
        <x:f>COUNTIF($L$2:$L$158,L24)</x:f>
        <x:v>3</x:v>
      </x:c>
      <x:c r="O24" s="39" t="str">
        <x:v>024；025；026</x:v>
      </x:c>
      <x:c r="P24" s="39" t="str">
        <x:v>扑满病毒；扑满病毒Max；扑满病毒Pro</x:v>
      </x:c>
      <x:c r="Q24" s="35" t="n">
        <x:v>22471</x:v>
      </x:c>
      <x:c r="R24" s="35" t="n">
        <x:v>128</x:v>
      </x:c>
      <x:c r="S24" s="35" t="n">
        <x:v>128</x:v>
      </x:c>
      <x:c r="T24" s="35" t="str">
        <x:v>https://patchwiki.biligame.com/images/sr/d/d0/b7cdaze07091ukd588kbyjid7md76l7.png</x:v>
      </x:c>
      <x:c r="U24" s="35" t="str">
        <x:v>https://wiki.biligame.com/sr/%E6%89%91%E6%BB%A1%E7%97%85%E6%AF%92Max</x:v>
      </x:c>
      <x:c r="V24" s="35" t="n">
        <x:v>99085</x:v>
      </x:c>
      <x:c r="W24" s="35" t="n">
        <x:v>200</x:v>
      </x:c>
      <x:c r="X24" s="35" t="str">
        <x:v>a1cb19ac93cdcdefe2cf4d4f98e32770f1b60e047b33a25e9e2daee54912419c</x:v>
      </x:c>
      <x:c r="Y24" s="36" t="b">
        <x:v>1</x:v>
      </x:c>
      <x:c r="Z24" s="36" t="b">
        <x:v>1</x:v>
      </x:c>
      <x:c r="AA24" s="35" t="str">
        <x:v>HTTP 567（限流/反爬）</x:v>
      </x:c>
      <x:c r="AB24" s="35" t="str"/>
      <x:c r="AC24" s="35" t="str">
        <x:v>equipment-contact-02.png</x:v>
      </x:c>
      <x:c r="AD24" s="35" t="str">
        <x:v>第1行第3列</x:v>
      </x:c>
      <x:c r="AE24" s="35" t="str">
        <x:v>逐项可见；未见空白、破损、异常裁切或相邻错位</x:v>
      </x:c>
      <x:c r="AF24" s="35" t="str">
        <x:v>同图多ID；识别时必须保留CandidateIds/Unknown，不得强收敛</x:v>
      </x:c>
      <x:c r="AG24" s="35" t="str">
        <x:v>BWIKI oldid=99085+PatchWiki；米游社官方V4.2仅支持骇客改件类别语义，不逐项支持16个子名称/图标</x:v>
      </x:c>
      <x:c r="AH24" s="35" t="str">
        <x:v>仅凭图标无法区分本簇具体ID</x:v>
      </x:c>
      <x:c r="AI24" s="40" t="str">
        <x:f>IF(OR(K24&lt;&gt;L24,M24&lt;&gt;TRUE,Y24&lt;&gt;TRUE,Z24&lt;&gt;TRUE),"冲突",IF(OR(D24="？",D24="？？？"),"分类冲突待确认",IF(N24&gt;1,"图标一致；具体ID不唯一","图标/名称/来源无已发现冲突")))</x:f>
        <x:v>图标一致；具体ID不唯一</x:v>
      </x:c>
    </x:row>
    <x:row r="25" ht="38" customHeight="1">
      <x:c r="A25" s="35" t="n">
        <x:v>24</x:v>
      </x:c>
      <x:c r="B25" s="35" t="str">
        <x:v>currency_wars_equipment_026</x:v>
      </x:c>
      <x:c r="C25" s="35" t="str">
        <x:v>扑满病毒Pro</x:v>
      </x:c>
      <x:c r="D25" s="35" t="str">
        <x:v>骇客改件</x:v>
      </x:c>
      <x:c r="E25" s="35" t="str">
        <x:v>hacking_component</x:v>
      </x:c>
      <x:c r="F25" s="35" t="str">
        <x:v>是</x:v>
      </x:c>
      <x:c r="G25" s="35" t="str">
        <x:v>否</x:v>
      </x:c>
      <x:c r="H25" s="35" t="str"/>
      <x:c r="I25" s="35" t="str"/>
      <x:c r="J25" s="35" t="str">
        <x:v>assets/currency_wars_equipment_icons/currency_wars_equipment_026.png</x:v>
      </x:c>
      <x:c r="K25" s="35" t="str">
        <x:v>a1cb19ac93cdcdefe2cf4d4f98e32770f1b60e047b33a25e9e2daee54912419c</x:v>
      </x:c>
      <x:c r="L25" s="35" t="str">
        <x:v>a1cb19ac93cdcdefe2cf4d4f98e32770f1b60e047b33a25e9e2daee54912419c</x:v>
      </x:c>
      <x:c r="M25" s="36" t="b">
        <x:v>1</x:v>
      </x:c>
      <x:c r="N25" s="39" t="n">
        <x:f>COUNTIF($L$2:$L$158,L25)</x:f>
        <x:v>3</x:v>
      </x:c>
      <x:c r="O25" s="39" t="str">
        <x:v>024；025；026</x:v>
      </x:c>
      <x:c r="P25" s="39" t="str">
        <x:v>扑满病毒；扑满病毒Max；扑满病毒Pro</x:v>
      </x:c>
      <x:c r="Q25" s="35" t="n">
        <x:v>22471</x:v>
      </x:c>
      <x:c r="R25" s="35" t="n">
        <x:v>128</x:v>
      </x:c>
      <x:c r="S25" s="35" t="n">
        <x:v>128</x:v>
      </x:c>
      <x:c r="T25" s="35" t="str">
        <x:v>https://patchwiki.biligame.com/images/sr/2/23/b7cdaze07091ukd588kbyjid7md76l7.png</x:v>
      </x:c>
      <x:c r="U25" s="35" t="str">
        <x:v>https://wiki.biligame.com/sr/%E6%89%91%E6%BB%A1%E7%97%85%E6%AF%92Pro</x:v>
      </x:c>
      <x:c r="V25" s="35" t="n">
        <x:v>99085</x:v>
      </x:c>
      <x:c r="W25" s="35" t="n">
        <x:v>200</x:v>
      </x:c>
      <x:c r="X25" s="35" t="str">
        <x:v>a1cb19ac93cdcdefe2cf4d4f98e32770f1b60e047b33a25e9e2daee54912419c</x:v>
      </x:c>
      <x:c r="Y25" s="36" t="b">
        <x:v>1</x:v>
      </x:c>
      <x:c r="Z25" s="36" t="b">
        <x:v>1</x:v>
      </x:c>
      <x:c r="AA25" s="35" t="str">
        <x:v>HTTP 567（限流/反爬）</x:v>
      </x:c>
      <x:c r="AB25" s="35" t="str"/>
      <x:c r="AC25" s="35" t="str">
        <x:v>equipment-contact-02.png</x:v>
      </x:c>
      <x:c r="AD25" s="35" t="str">
        <x:v>第1行第4列</x:v>
      </x:c>
      <x:c r="AE25" s="35" t="str">
        <x:v>逐项可见；未见空白、破损、异常裁切或相邻错位</x:v>
      </x:c>
      <x:c r="AF25" s="35" t="str">
        <x:v>同图多ID；识别时必须保留CandidateIds/Unknown，不得强收敛</x:v>
      </x:c>
      <x:c r="AG25" s="35" t="str">
        <x:v>BWIKI oldid=99085+PatchWiki；米游社官方V4.2仅支持骇客改件类别语义，不逐项支持16个子名称/图标</x:v>
      </x:c>
      <x:c r="AH25" s="35" t="str">
        <x:v>仅凭图标无法区分本簇具体ID</x:v>
      </x:c>
      <x:c r="AI25" s="40" t="str">
        <x:f>IF(OR(K25&lt;&gt;L25,M25&lt;&gt;TRUE,Y25&lt;&gt;TRUE,Z25&lt;&gt;TRUE),"冲突",IF(OR(D25="？",D25="？？？"),"分类冲突待确认",IF(N25&gt;1,"图标一致；具体ID不唯一","图标/名称/来源无已发现冲突")))</x:f>
        <x:v>图标一致；具体ID不唯一</x:v>
      </x:c>
    </x:row>
    <x:row r="26" ht="38" customHeight="1">
      <x:c r="A26" s="35" t="n">
        <x:v>25</x:v>
      </x:c>
      <x:c r="B26" s="35" t="str">
        <x:v>currency_wars_equipment_027</x:v>
      </x:c>
      <x:c r="C26" s="35" t="str">
        <x:v>数据拷贝仪</x:v>
      </x:c>
      <x:c r="D26" s="35" t="str">
        <x:v>骇客改件</x:v>
      </x:c>
      <x:c r="E26" s="35" t="str">
        <x:v>hacking_component</x:v>
      </x:c>
      <x:c r="F26" s="35" t="str">
        <x:v>是</x:v>
      </x:c>
      <x:c r="G26" s="35" t="str">
        <x:v>否</x:v>
      </x:c>
      <x:c r="H26" s="35" t="str"/>
      <x:c r="I26" s="35" t="str"/>
      <x:c r="J26" s="35" t="str">
        <x:v>assets/currency_wars_equipment_icons/currency_wars_equipment_027.png</x:v>
      </x:c>
      <x:c r="K26" s="35" t="str">
        <x:v>9ef6d5af3970dd9023021ac532d72a3a1a3c57b97507a99b432677be3635b4af</x:v>
      </x:c>
      <x:c r="L26" s="35" t="str">
        <x:v>9ef6d5af3970dd9023021ac532d72a3a1a3c57b97507a99b432677be3635b4af</x:v>
      </x:c>
      <x:c r="M26" s="36" t="b">
        <x:v>1</x:v>
      </x:c>
      <x:c r="N26" s="39" t="n">
        <x:f>COUNTIF($L$2:$L$158,L26)</x:f>
        <x:v>3</x:v>
      </x:c>
      <x:c r="O26" s="39" t="str">
        <x:v>027；028；029</x:v>
      </x:c>
      <x:c r="P26" s="39" t="str">
        <x:v>数据拷贝仪；数据拷贝仪Max；数据拷贝仪Pro</x:v>
      </x:c>
      <x:c r="Q26" s="35" t="n">
        <x:v>31237</x:v>
      </x:c>
      <x:c r="R26" s="35" t="n">
        <x:v>128</x:v>
      </x:c>
      <x:c r="S26" s="35" t="n">
        <x:v>128</x:v>
      </x:c>
      <x:c r="T26" s="35" t="str">
        <x:v>https://patchwiki.biligame.com/images/sr/4/42/g7d2z7yk1xtrk1nza76mj2vgwfcrpyy.png</x:v>
      </x:c>
      <x:c r="U26" s="35" t="str">
        <x:v>https://wiki.biligame.com/sr/%E6%95%B0%E6%8D%AE%E6%8B%B7%E8%B4%9D%E4%BB%AA</x:v>
      </x:c>
      <x:c r="V26" s="35" t="n">
        <x:v>99085</x:v>
      </x:c>
      <x:c r="W26" s="35" t="n">
        <x:v>200</x:v>
      </x:c>
      <x:c r="X26" s="35" t="str">
        <x:v>9ef6d5af3970dd9023021ac532d72a3a1a3c57b97507a99b432677be3635b4af</x:v>
      </x:c>
      <x:c r="Y26" s="36" t="b">
        <x:v>1</x:v>
      </x:c>
      <x:c r="Z26" s="36" t="b">
        <x:v>1</x:v>
      </x:c>
      <x:c r="AA26" s="35" t="str">
        <x:v>HTTP 567（限流/反爬）</x:v>
      </x:c>
      <x:c r="AB26" s="35" t="str"/>
      <x:c r="AC26" s="35" t="str">
        <x:v>equipment-contact-02.png</x:v>
      </x:c>
      <x:c r="AD26" s="35" t="str">
        <x:v>第1行第5列</x:v>
      </x:c>
      <x:c r="AE26" s="35" t="str">
        <x:v>逐项可见；未见空白、破损、异常裁切或相邻错位</x:v>
      </x:c>
      <x:c r="AF26" s="35" t="str">
        <x:v>同图多ID；识别时必须保留CandidateIds/Unknown，不得强收敛</x:v>
      </x:c>
      <x:c r="AG26" s="35" t="str">
        <x:v>BWIKI oldid=99085+PatchWiki；米游社官方V4.2仅支持骇客改件类别语义，不逐项支持16个子名称/图标</x:v>
      </x:c>
      <x:c r="AH26" s="35" t="str">
        <x:v>仅凭图标无法区分本簇具体ID</x:v>
      </x:c>
      <x:c r="AI26" s="40" t="str">
        <x:f>IF(OR(K26&lt;&gt;L26,M26&lt;&gt;TRUE,Y26&lt;&gt;TRUE,Z26&lt;&gt;TRUE),"冲突",IF(OR(D26="？",D26="？？？"),"分类冲突待确认",IF(N26&gt;1,"图标一致；具体ID不唯一","图标/名称/来源无已发现冲突")))</x:f>
        <x:v>图标一致；具体ID不唯一</x:v>
      </x:c>
    </x:row>
    <x:row r="27" ht="38" customHeight="1">
      <x:c r="A27" s="35" t="n">
        <x:v>26</x:v>
      </x:c>
      <x:c r="B27" s="35" t="str">
        <x:v>currency_wars_equipment_028</x:v>
      </x:c>
      <x:c r="C27" s="35" t="str">
        <x:v>数据拷贝仪Max</x:v>
      </x:c>
      <x:c r="D27" s="35" t="str">
        <x:v>骇客改件</x:v>
      </x:c>
      <x:c r="E27" s="35" t="str">
        <x:v>hacking_component</x:v>
      </x:c>
      <x:c r="F27" s="35" t="str">
        <x:v>是</x:v>
      </x:c>
      <x:c r="G27" s="35" t="str">
        <x:v>否</x:v>
      </x:c>
      <x:c r="H27" s="35" t="str"/>
      <x:c r="I27" s="35" t="str"/>
      <x:c r="J27" s="35" t="str">
        <x:v>assets/currency_wars_equipment_icons/currency_wars_equipment_028.png</x:v>
      </x:c>
      <x:c r="K27" s="35" t="str">
        <x:v>9ef6d5af3970dd9023021ac532d72a3a1a3c57b97507a99b432677be3635b4af</x:v>
      </x:c>
      <x:c r="L27" s="35" t="str">
        <x:v>9ef6d5af3970dd9023021ac532d72a3a1a3c57b97507a99b432677be3635b4af</x:v>
      </x:c>
      <x:c r="M27" s="36" t="b">
        <x:v>1</x:v>
      </x:c>
      <x:c r="N27" s="39" t="n">
        <x:f>COUNTIF($L$2:$L$158,L27)</x:f>
        <x:v>3</x:v>
      </x:c>
      <x:c r="O27" s="39" t="str">
        <x:v>027；028；029</x:v>
      </x:c>
      <x:c r="P27" s="39" t="str">
        <x:v>数据拷贝仪；数据拷贝仪Max；数据拷贝仪Pro</x:v>
      </x:c>
      <x:c r="Q27" s="35" t="n">
        <x:v>31237</x:v>
      </x:c>
      <x:c r="R27" s="35" t="n">
        <x:v>128</x:v>
      </x:c>
      <x:c r="S27" s="35" t="n">
        <x:v>128</x:v>
      </x:c>
      <x:c r="T27" s="35" t="str">
        <x:v>https://patchwiki.biligame.com/images/sr/0/05/g7d2z7yk1xtrk1nza76mj2vgwfcrpyy.png</x:v>
      </x:c>
      <x:c r="U27" s="35" t="str">
        <x:v>https://wiki.biligame.com/sr/%E6%95%B0%E6%8D%AE%E6%8B%B7%E8%B4%9D%E4%BB%AAMax</x:v>
      </x:c>
      <x:c r="V27" s="35" t="n">
        <x:v>99085</x:v>
      </x:c>
      <x:c r="W27" s="35" t="n">
        <x:v>200</x:v>
      </x:c>
      <x:c r="X27" s="35" t="str">
        <x:v>9ef6d5af3970dd9023021ac532d72a3a1a3c57b97507a99b432677be3635b4af</x:v>
      </x:c>
      <x:c r="Y27" s="36" t="b">
        <x:v>1</x:v>
      </x:c>
      <x:c r="Z27" s="36" t="b">
        <x:v>1</x:v>
      </x:c>
      <x:c r="AA27" s="35" t="str">
        <x:v>HTTP 567（限流/反爬）</x:v>
      </x:c>
      <x:c r="AB27" s="35" t="str"/>
      <x:c r="AC27" s="35" t="str">
        <x:v>equipment-contact-02.png</x:v>
      </x:c>
      <x:c r="AD27" s="35" t="str">
        <x:v>第2行第1列</x:v>
      </x:c>
      <x:c r="AE27" s="35" t="str">
        <x:v>逐项可见；未见空白、破损、异常裁切或相邻错位</x:v>
      </x:c>
      <x:c r="AF27" s="35" t="str">
        <x:v>同图多ID；识别时必须保留CandidateIds/Unknown，不得强收敛</x:v>
      </x:c>
      <x:c r="AG27" s="35" t="str">
        <x:v>BWIKI oldid=99085+PatchWiki；米游社官方V4.2仅支持骇客改件类别语义，不逐项支持16个子名称/图标</x:v>
      </x:c>
      <x:c r="AH27" s="35" t="str">
        <x:v>仅凭图标无法区分本簇具体ID</x:v>
      </x:c>
      <x:c r="AI27" s="40" t="str">
        <x:f>IF(OR(K27&lt;&gt;L27,M27&lt;&gt;TRUE,Y27&lt;&gt;TRUE,Z27&lt;&gt;TRUE),"冲突",IF(OR(D27="？",D27="？？？"),"分类冲突待确认",IF(N27&gt;1,"图标一致；具体ID不唯一","图标/名称/来源无已发现冲突")))</x:f>
        <x:v>图标一致；具体ID不唯一</x:v>
      </x:c>
    </x:row>
    <x:row r="28" ht="38" customHeight="1">
      <x:c r="A28" s="35" t="n">
        <x:v>27</x:v>
      </x:c>
      <x:c r="B28" s="35" t="str">
        <x:v>currency_wars_equipment_029</x:v>
      </x:c>
      <x:c r="C28" s="35" t="str">
        <x:v>数据拷贝仪Pro</x:v>
      </x:c>
      <x:c r="D28" s="35" t="str">
        <x:v>骇客改件</x:v>
      </x:c>
      <x:c r="E28" s="35" t="str">
        <x:v>hacking_component</x:v>
      </x:c>
      <x:c r="F28" s="35" t="str">
        <x:v>是</x:v>
      </x:c>
      <x:c r="G28" s="35" t="str">
        <x:v>否</x:v>
      </x:c>
      <x:c r="H28" s="35" t="str"/>
      <x:c r="I28" s="35" t="str"/>
      <x:c r="J28" s="35" t="str">
        <x:v>assets/currency_wars_equipment_icons/currency_wars_equipment_029.png</x:v>
      </x:c>
      <x:c r="K28" s="35" t="str">
        <x:v>9ef6d5af3970dd9023021ac532d72a3a1a3c57b97507a99b432677be3635b4af</x:v>
      </x:c>
      <x:c r="L28" s="35" t="str">
        <x:v>9ef6d5af3970dd9023021ac532d72a3a1a3c57b97507a99b432677be3635b4af</x:v>
      </x:c>
      <x:c r="M28" s="36" t="b">
        <x:v>1</x:v>
      </x:c>
      <x:c r="N28" s="39" t="n">
        <x:f>COUNTIF($L$2:$L$158,L28)</x:f>
        <x:v>3</x:v>
      </x:c>
      <x:c r="O28" s="39" t="str">
        <x:v>027；028；029</x:v>
      </x:c>
      <x:c r="P28" s="39" t="str">
        <x:v>数据拷贝仪；数据拷贝仪Max；数据拷贝仪Pro</x:v>
      </x:c>
      <x:c r="Q28" s="35" t="n">
        <x:v>31237</x:v>
      </x:c>
      <x:c r="R28" s="35" t="n">
        <x:v>128</x:v>
      </x:c>
      <x:c r="S28" s="35" t="n">
        <x:v>128</x:v>
      </x:c>
      <x:c r="T28" s="35" t="str">
        <x:v>https://patchwiki.biligame.com/images/sr/4/49/g7d2z7yk1xtrk1nza76mj2vgwfcrpyy.png</x:v>
      </x:c>
      <x:c r="U28" s="35" t="str">
        <x:v>https://wiki.biligame.com/sr/%E6%95%B0%E6%8D%AE%E6%8B%B7%E8%B4%9D%E4%BB%AAPro</x:v>
      </x:c>
      <x:c r="V28" s="35" t="n">
        <x:v>99085</x:v>
      </x:c>
      <x:c r="W28" s="35" t="n">
        <x:v>200</x:v>
      </x:c>
      <x:c r="X28" s="35" t="str">
        <x:v>9ef6d5af3970dd9023021ac532d72a3a1a3c57b97507a99b432677be3635b4af</x:v>
      </x:c>
      <x:c r="Y28" s="36" t="b">
        <x:v>1</x:v>
      </x:c>
      <x:c r="Z28" s="36" t="b">
        <x:v>1</x:v>
      </x:c>
      <x:c r="AA28" s="35" t="str">
        <x:v>HTTP 567（限流/反爬）</x:v>
      </x:c>
      <x:c r="AB28" s="35" t="str"/>
      <x:c r="AC28" s="35" t="str">
        <x:v>equipment-contact-02.png</x:v>
      </x:c>
      <x:c r="AD28" s="35" t="str">
        <x:v>第2行第2列</x:v>
      </x:c>
      <x:c r="AE28" s="35" t="str">
        <x:v>逐项可见；未见空白、破损、异常裁切或相邻错位</x:v>
      </x:c>
      <x:c r="AF28" s="35" t="str">
        <x:v>同图多ID；识别时必须保留CandidateIds/Unknown，不得强收敛</x:v>
      </x:c>
      <x:c r="AG28" s="35" t="str">
        <x:v>BWIKI oldid=99085+PatchWiki；米游社官方V4.2仅支持骇客改件类别语义，不逐项支持16个子名称/图标</x:v>
      </x:c>
      <x:c r="AH28" s="35" t="str">
        <x:v>仅凭图标无法区分本簇具体ID</x:v>
      </x:c>
      <x:c r="AI28" s="40" t="str">
        <x:f>IF(OR(K28&lt;&gt;L28,M28&lt;&gt;TRUE,Y28&lt;&gt;TRUE,Z28&lt;&gt;TRUE),"冲突",IF(OR(D28="？",D28="？？？"),"分类冲突待确认",IF(N28&gt;1,"图标一致；具体ID不唯一","图标/名称/来源无已发现冲突")))</x:f>
        <x:v>图标一致；具体ID不唯一</x:v>
      </x:c>
    </x:row>
    <x:row r="29" ht="38" customHeight="1">
      <x:c r="A29" s="35" t="n">
        <x:v>28</x:v>
      </x:c>
      <x:c r="B29" s="35" t="str">
        <x:v>currency_wars_equipment_030</x:v>
      </x:c>
      <x:c r="C29" s="35" t="str">
        <x:v>星核猎手卡带</x:v>
      </x:c>
      <x:c r="D29" s="35" t="str">
        <x:v>骇客改件</x:v>
      </x:c>
      <x:c r="E29" s="35" t="str">
        <x:v>hacking_component</x:v>
      </x:c>
      <x:c r="F29" s="35" t="str">
        <x:v>是</x:v>
      </x:c>
      <x:c r="G29" s="35" t="str">
        <x:v>否</x:v>
      </x:c>
      <x:c r="H29" s="35" t="str"/>
      <x:c r="I29" s="35" t="str"/>
      <x:c r="J29" s="35" t="str">
        <x:v>assets/currency_wars_equipment_icons/currency_wars_equipment_030.png</x:v>
      </x:c>
      <x:c r="K29" s="35" t="str">
        <x:v>5e7cfa755e8919353448b176967365876c4748dca06fd6c1e0ae66e899032788</x:v>
      </x:c>
      <x:c r="L29" s="35" t="str">
        <x:v>5e7cfa755e8919353448b176967365876c4748dca06fd6c1e0ae66e899032788</x:v>
      </x:c>
      <x:c r="M29" s="36" t="b">
        <x:v>1</x:v>
      </x:c>
      <x:c r="N29" s="39" t="n">
        <x:f>COUNTIF($L$2:$L$158,L29)</x:f>
        <x:v>2</x:v>
      </x:c>
      <x:c r="O29" s="39" t="str">
        <x:v>030；031</x:v>
      </x:c>
      <x:c r="P29" s="39" t="str">
        <x:v>星核猎手卡带；星核猎手卡带Max</x:v>
      </x:c>
      <x:c r="Q29" s="35" t="n">
        <x:v>28923</x:v>
      </x:c>
      <x:c r="R29" s="35" t="n">
        <x:v>128</x:v>
      </x:c>
      <x:c r="S29" s="35" t="n">
        <x:v>128</x:v>
      </x:c>
      <x:c r="T29" s="35" t="str">
        <x:v>https://patchwiki.biligame.com/images/sr/0/05/4gz84q81cg5l3ygh6bjip2ytanu5lhf.png</x:v>
      </x:c>
      <x:c r="U29" s="35" t="str">
        <x:v>https://wiki.biligame.com/sr/%E6%98%9F%E6%A0%B8%E7%8C%8E%E6%89%8B%E5%8D%A1%E5%B8%A6</x:v>
      </x:c>
      <x:c r="V29" s="35" t="n">
        <x:v>99085</x:v>
      </x:c>
      <x:c r="W29" s="35" t="n">
        <x:v>200</x:v>
      </x:c>
      <x:c r="X29" s="35" t="str">
        <x:v>5e7cfa755e8919353448b176967365876c4748dca06fd6c1e0ae66e899032788</x:v>
      </x:c>
      <x:c r="Y29" s="36" t="b">
        <x:v>1</x:v>
      </x:c>
      <x:c r="Z29" s="36" t="b">
        <x:v>1</x:v>
      </x:c>
      <x:c r="AA29" s="35" t="str">
        <x:v>HTTP 567（限流/反爬）</x:v>
      </x:c>
      <x:c r="AB29" s="35" t="str"/>
      <x:c r="AC29" s="35" t="str">
        <x:v>equipment-contact-02.png</x:v>
      </x:c>
      <x:c r="AD29" s="35" t="str">
        <x:v>第2行第3列</x:v>
      </x:c>
      <x:c r="AE29" s="35" t="str">
        <x:v>逐项可见；未见空白、破损、异常裁切或相邻错位</x:v>
      </x:c>
      <x:c r="AF29" s="35" t="str">
        <x:v>同图多ID；识别时必须保留CandidateIds/Unknown，不得强收敛</x:v>
      </x:c>
      <x:c r="AG29" s="35" t="str">
        <x:v>BWIKI oldid=99085+PatchWiki；米游社官方V4.2仅支持骇客改件类别语义，不逐项支持16个子名称/图标</x:v>
      </x:c>
      <x:c r="AH29" s="35" t="str">
        <x:v>仅凭图标无法区分本簇具体ID</x:v>
      </x:c>
      <x:c r="AI29" s="40" t="str">
        <x:f>IF(OR(K29&lt;&gt;L29,M29&lt;&gt;TRUE,Y29&lt;&gt;TRUE,Z29&lt;&gt;TRUE),"冲突",IF(OR(D29="？",D29="？？？"),"分类冲突待确认",IF(N29&gt;1,"图标一致；具体ID不唯一","图标/名称/来源无已发现冲突")))</x:f>
        <x:v>图标一致；具体ID不唯一</x:v>
      </x:c>
    </x:row>
    <x:row r="30" ht="38" customHeight="1">
      <x:c r="A30" s="35" t="n">
        <x:v>29</x:v>
      </x:c>
      <x:c r="B30" s="35" t="str">
        <x:v>currency_wars_equipment_031</x:v>
      </x:c>
      <x:c r="C30" s="35" t="str">
        <x:v>星核猎手卡带Max</x:v>
      </x:c>
      <x:c r="D30" s="35" t="str">
        <x:v>骇客改件</x:v>
      </x:c>
      <x:c r="E30" s="35" t="str">
        <x:v>hacking_component</x:v>
      </x:c>
      <x:c r="F30" s="35" t="str">
        <x:v>是</x:v>
      </x:c>
      <x:c r="G30" s="35" t="str">
        <x:v>否</x:v>
      </x:c>
      <x:c r="H30" s="35" t="str"/>
      <x:c r="I30" s="35" t="str"/>
      <x:c r="J30" s="35" t="str">
        <x:v>assets/currency_wars_equipment_icons/currency_wars_equipment_031.png</x:v>
      </x:c>
      <x:c r="K30" s="35" t="str">
        <x:v>5e7cfa755e8919353448b176967365876c4748dca06fd6c1e0ae66e899032788</x:v>
      </x:c>
      <x:c r="L30" s="35" t="str">
        <x:v>5e7cfa755e8919353448b176967365876c4748dca06fd6c1e0ae66e899032788</x:v>
      </x:c>
      <x:c r="M30" s="36" t="b">
        <x:v>1</x:v>
      </x:c>
      <x:c r="N30" s="39" t="n">
        <x:f>COUNTIF($L$2:$L$158,L30)</x:f>
        <x:v>2</x:v>
      </x:c>
      <x:c r="O30" s="39" t="str">
        <x:v>030；031</x:v>
      </x:c>
      <x:c r="P30" s="39" t="str">
        <x:v>星核猎手卡带；星核猎手卡带Max</x:v>
      </x:c>
      <x:c r="Q30" s="35" t="n">
        <x:v>28923</x:v>
      </x:c>
      <x:c r="R30" s="35" t="n">
        <x:v>128</x:v>
      </x:c>
      <x:c r="S30" s="35" t="n">
        <x:v>128</x:v>
      </x:c>
      <x:c r="T30" s="35" t="str">
        <x:v>https://patchwiki.biligame.com/images/sr/f/f3/4gz84q81cg5l3ygh6bjip2ytanu5lhf.png</x:v>
      </x:c>
      <x:c r="U30" s="35" t="str">
        <x:v>https://wiki.biligame.com/sr/%E6%98%9F%E6%A0%B8%E7%8C%8E%E6%89%8B%E5%8D%A1%E5%B8%A6Max</x:v>
      </x:c>
      <x:c r="V30" s="35" t="n">
        <x:v>99085</x:v>
      </x:c>
      <x:c r="W30" s="35" t="n">
        <x:v>200</x:v>
      </x:c>
      <x:c r="X30" s="35" t="str">
        <x:v>5e7cfa755e8919353448b176967365876c4748dca06fd6c1e0ae66e899032788</x:v>
      </x:c>
      <x:c r="Y30" s="36" t="b">
        <x:v>1</x:v>
      </x:c>
      <x:c r="Z30" s="36" t="b">
        <x:v>1</x:v>
      </x:c>
      <x:c r="AA30" s="35" t="str">
        <x:v>HTTP 567（限流/反爬）</x:v>
      </x:c>
      <x:c r="AB30" s="35" t="str"/>
      <x:c r="AC30" s="35" t="str">
        <x:v>equipment-contact-02.png</x:v>
      </x:c>
      <x:c r="AD30" s="35" t="str">
        <x:v>第2行第4列</x:v>
      </x:c>
      <x:c r="AE30" s="35" t="str">
        <x:v>逐项可见；未见空白、破损、异常裁切或相邻错位</x:v>
      </x:c>
      <x:c r="AF30" s="35" t="str">
        <x:v>同图多ID；识别时必须保留CandidateIds/Unknown，不得强收敛</x:v>
      </x:c>
      <x:c r="AG30" s="35" t="str">
        <x:v>BWIKI oldid=99085+PatchWiki；米游社官方V4.2仅支持骇客改件类别语义，不逐项支持16个子名称/图标</x:v>
      </x:c>
      <x:c r="AH30" s="35" t="str">
        <x:v>仅凭图标无法区分本簇具体ID</x:v>
      </x:c>
      <x:c r="AI30" s="40" t="str">
        <x:f>IF(OR(K30&lt;&gt;L30,M30&lt;&gt;TRUE,Y30&lt;&gt;TRUE,Z30&lt;&gt;TRUE),"冲突",IF(OR(D30="？",D30="？？？"),"分类冲突待确认",IF(N30&gt;1,"图标一致；具体ID不唯一","图标/名称/来源无已发现冲突")))</x:f>
        <x:v>图标一致；具体ID不唯一</x:v>
      </x:c>
    </x:row>
    <x:row r="31" ht="38" customHeight="1">
      <x:c r="A31" s="35" t="n">
        <x:v>30</x:v>
      </x:c>
      <x:c r="B31" s="35" t="str">
        <x:v>currency_wars_equipment_032</x:v>
      </x:c>
      <x:c r="C31" s="35" t="str">
        <x:v>欢愉卡带</x:v>
      </x:c>
      <x:c r="D31" s="35" t="str">
        <x:v>骇客改件</x:v>
      </x:c>
      <x:c r="E31" s="35" t="str">
        <x:v>hacking_component</x:v>
      </x:c>
      <x:c r="F31" s="35" t="str">
        <x:v>是</x:v>
      </x:c>
      <x:c r="G31" s="35" t="str">
        <x:v>否</x:v>
      </x:c>
      <x:c r="H31" s="35" t="str"/>
      <x:c r="I31" s="35" t="str"/>
      <x:c r="J31" s="35" t="str">
        <x:v>assets/currency_wars_equipment_icons/currency_wars_equipment_032.png</x:v>
      </x:c>
      <x:c r="K31" s="35" t="str">
        <x:v>41bf730530558f7ffe3c31adc6c4aeca06ab97bc495b8e372d7482642fbb4c53</x:v>
      </x:c>
      <x:c r="L31" s="35" t="str">
        <x:v>41bf730530558f7ffe3c31adc6c4aeca06ab97bc495b8e372d7482642fbb4c53</x:v>
      </x:c>
      <x:c r="M31" s="36" t="b">
        <x:v>1</x:v>
      </x:c>
      <x:c r="N31" s="39" t="n">
        <x:f>COUNTIF($L$2:$L$158,L31)</x:f>
        <x:v>2</x:v>
      </x:c>
      <x:c r="O31" s="39" t="str">
        <x:v>032；033</x:v>
      </x:c>
      <x:c r="P31" s="39" t="str">
        <x:v>欢愉卡带；欢愉卡带Max</x:v>
      </x:c>
      <x:c r="Q31" s="35" t="n">
        <x:v>30570</x:v>
      </x:c>
      <x:c r="R31" s="35" t="n">
        <x:v>128</x:v>
      </x:c>
      <x:c r="S31" s="35" t="n">
        <x:v>128</x:v>
      </x:c>
      <x:c r="T31" s="35" t="str">
        <x:v>https://patchwiki.biligame.com/images/sr/3/3c/m9l08rfrkf6adh8v9qwem5ch0rxlpba.png</x:v>
      </x:c>
      <x:c r="U31" s="35" t="str">
        <x:v>https://wiki.biligame.com/sr/%E6%AC%A2%E6%84%89%E5%8D%A1%E5%B8%A6</x:v>
      </x:c>
      <x:c r="V31" s="35" t="n">
        <x:v>99085</x:v>
      </x:c>
      <x:c r="W31" s="35" t="n">
        <x:v>200</x:v>
      </x:c>
      <x:c r="X31" s="35" t="str">
        <x:v>41bf730530558f7ffe3c31adc6c4aeca06ab97bc495b8e372d7482642fbb4c53</x:v>
      </x:c>
      <x:c r="Y31" s="36" t="b">
        <x:v>1</x:v>
      </x:c>
      <x:c r="Z31" s="36" t="b">
        <x:v>1</x:v>
      </x:c>
      <x:c r="AA31" s="35" t="str">
        <x:v>HTTP 567（限流/反爬）</x:v>
      </x:c>
      <x:c r="AB31" s="35" t="str"/>
      <x:c r="AC31" s="35" t="str">
        <x:v>equipment-contact-02.png</x:v>
      </x:c>
      <x:c r="AD31" s="35" t="str">
        <x:v>第2行第5列</x:v>
      </x:c>
      <x:c r="AE31" s="35" t="str">
        <x:v>逐项可见；未见空白、破损、异常裁切或相邻错位</x:v>
      </x:c>
      <x:c r="AF31" s="35" t="str">
        <x:v>同图多ID；识别时必须保留CandidateIds/Unknown，不得强收敛</x:v>
      </x:c>
      <x:c r="AG31" s="35" t="str">
        <x:v>BWIKI oldid=99085+PatchWiki；米游社官方V4.2仅支持骇客改件类别语义，不逐项支持16个子名称/图标</x:v>
      </x:c>
      <x:c r="AH31" s="35" t="str">
        <x:v>仅凭图标无法区分本簇具体ID</x:v>
      </x:c>
      <x:c r="AI31" s="40" t="str">
        <x:f>IF(OR(K31&lt;&gt;L31,M31&lt;&gt;TRUE,Y31&lt;&gt;TRUE,Z31&lt;&gt;TRUE),"冲突",IF(OR(D31="？",D31="？？？"),"分类冲突待确认",IF(N31&gt;1,"图标一致；具体ID不唯一","图标/名称/来源无已发现冲突")))</x:f>
        <x:v>图标一致；具体ID不唯一</x:v>
      </x:c>
    </x:row>
    <x:row r="32" ht="38" customHeight="1">
      <x:c r="A32" s="35" t="n">
        <x:v>31</x:v>
      </x:c>
      <x:c r="B32" s="35" t="str">
        <x:v>currency_wars_equipment_033</x:v>
      </x:c>
      <x:c r="C32" s="35" t="str">
        <x:v>欢愉卡带Max</x:v>
      </x:c>
      <x:c r="D32" s="35" t="str">
        <x:v>骇客改件</x:v>
      </x:c>
      <x:c r="E32" s="35" t="str">
        <x:v>hacking_component</x:v>
      </x:c>
      <x:c r="F32" s="35" t="str">
        <x:v>是</x:v>
      </x:c>
      <x:c r="G32" s="35" t="str">
        <x:v>否</x:v>
      </x:c>
      <x:c r="H32" s="35" t="str"/>
      <x:c r="I32" s="35" t="str"/>
      <x:c r="J32" s="35" t="str">
        <x:v>assets/currency_wars_equipment_icons/currency_wars_equipment_033.png</x:v>
      </x:c>
      <x:c r="K32" s="35" t="str">
        <x:v>41bf730530558f7ffe3c31adc6c4aeca06ab97bc495b8e372d7482642fbb4c53</x:v>
      </x:c>
      <x:c r="L32" s="35" t="str">
        <x:v>41bf730530558f7ffe3c31adc6c4aeca06ab97bc495b8e372d7482642fbb4c53</x:v>
      </x:c>
      <x:c r="M32" s="36" t="b">
        <x:v>1</x:v>
      </x:c>
      <x:c r="N32" s="39" t="n">
        <x:f>COUNTIF($L$2:$L$158,L32)</x:f>
        <x:v>2</x:v>
      </x:c>
      <x:c r="O32" s="39" t="str">
        <x:v>032；033</x:v>
      </x:c>
      <x:c r="P32" s="39" t="str">
        <x:v>欢愉卡带；欢愉卡带Max</x:v>
      </x:c>
      <x:c r="Q32" s="35" t="n">
        <x:v>30570</x:v>
      </x:c>
      <x:c r="R32" s="35" t="n">
        <x:v>128</x:v>
      </x:c>
      <x:c r="S32" s="35" t="n">
        <x:v>128</x:v>
      </x:c>
      <x:c r="T32" s="35" t="str">
        <x:v>https://patchwiki.biligame.com/images/sr/3/37/m9l08rfrkf6adh8v9qwem5ch0rxlpba.png</x:v>
      </x:c>
      <x:c r="U32" s="35" t="str">
        <x:v>https://wiki.biligame.com/sr/%E6%AC%A2%E6%84%89%E5%8D%A1%E5%B8%A6Max</x:v>
      </x:c>
      <x:c r="V32" s="35" t="n">
        <x:v>99085</x:v>
      </x:c>
      <x:c r="W32" s="35" t="n">
        <x:v>200</x:v>
      </x:c>
      <x:c r="X32" s="35" t="str">
        <x:v>41bf730530558f7ffe3c31adc6c4aeca06ab97bc495b8e372d7482642fbb4c53</x:v>
      </x:c>
      <x:c r="Y32" s="36" t="b">
        <x:v>1</x:v>
      </x:c>
      <x:c r="Z32" s="36" t="b">
        <x:v>1</x:v>
      </x:c>
      <x:c r="AA32" s="35" t="str">
        <x:v>HTTP 567（限流/反爬）</x:v>
      </x:c>
      <x:c r="AB32" s="35" t="str"/>
      <x:c r="AC32" s="35" t="str">
        <x:v>equipment-contact-02.png</x:v>
      </x:c>
      <x:c r="AD32" s="35" t="str">
        <x:v>第3行第1列</x:v>
      </x:c>
      <x:c r="AE32" s="35" t="str">
        <x:v>逐项可见；未见空白、破损、异常裁切或相邻错位</x:v>
      </x:c>
      <x:c r="AF32" s="35" t="str">
        <x:v>同图多ID；识别时必须保留CandidateIds/Unknown，不得强收敛</x:v>
      </x:c>
      <x:c r="AG32" s="35" t="str">
        <x:v>BWIKI oldid=99085+PatchWiki；米游社官方V4.2仅支持骇客改件类别语义，不逐项支持16个子名称/图标</x:v>
      </x:c>
      <x:c r="AH32" s="35" t="str">
        <x:v>仅凭图标无法区分本簇具体ID</x:v>
      </x:c>
      <x:c r="AI32" s="40" t="str">
        <x:f>IF(OR(K32&lt;&gt;L32,M32&lt;&gt;TRUE,Y32&lt;&gt;TRUE,Z32&lt;&gt;TRUE),"冲突",IF(OR(D32="？",D32="？？？"),"分类冲突待确认",IF(N32&gt;1,"图标一致；具体ID不唯一","图标/名称/来源无已发现冲突")))</x:f>
        <x:v>图标一致；具体ID不唯一</x:v>
      </x:c>
    </x:row>
    <x:row r="33" ht="38" customHeight="1">
      <x:c r="A33" s="35" t="n">
        <x:v>32</x:v>
      </x:c>
      <x:c r="B33" s="35" t="str">
        <x:v>currency_wars_equipment_034</x:v>
      </x:c>
      <x:c r="C33" s="35" t="str">
        <x:v>病毒防火墙</x:v>
      </x:c>
      <x:c r="D33" s="35" t="str">
        <x:v>骇客改件</x:v>
      </x:c>
      <x:c r="E33" s="35" t="str">
        <x:v>hacking_component</x:v>
      </x:c>
      <x:c r="F33" s="35" t="str">
        <x:v>是</x:v>
      </x:c>
      <x:c r="G33" s="35" t="str">
        <x:v>否</x:v>
      </x:c>
      <x:c r="H33" s="35" t="str"/>
      <x:c r="I33" s="35" t="str"/>
      <x:c r="J33" s="35" t="str">
        <x:v>assets/currency_wars_equipment_icons/currency_wars_equipment_034.png</x:v>
      </x:c>
      <x:c r="K33" s="35" t="str">
        <x:v>0dff01418203ef0b8953f58ea464daa675e1f7dcf15d3e8f7a1862dea70d1d07</x:v>
      </x:c>
      <x:c r="L33" s="35" t="str">
        <x:v>0dff01418203ef0b8953f58ea464daa675e1f7dcf15d3e8f7a1862dea70d1d07</x:v>
      </x:c>
      <x:c r="M33" s="36" t="b">
        <x:v>1</x:v>
      </x:c>
      <x:c r="N33" s="39" t="n">
        <x:f>COUNTIF($L$2:$L$158,L33)</x:f>
        <x:v>2</x:v>
      </x:c>
      <x:c r="O33" s="39" t="str">
        <x:v>034；035</x:v>
      </x:c>
      <x:c r="P33" s="39" t="str">
        <x:v>病毒防火墙；病毒防火墙Max</x:v>
      </x:c>
      <x:c r="Q33" s="35" t="n">
        <x:v>30116</x:v>
      </x:c>
      <x:c r="R33" s="35" t="n">
        <x:v>128</x:v>
      </x:c>
      <x:c r="S33" s="35" t="n">
        <x:v>128</x:v>
      </x:c>
      <x:c r="T33" s="35" t="str">
        <x:v>https://patchwiki.biligame.com/images/sr/d/df/qfh49x0x28j4oxozvjtvvrdo1qxg92t.png</x:v>
      </x:c>
      <x:c r="U33" s="35" t="str">
        <x:v>https://wiki.biligame.com/sr/%E7%97%85%E6%AF%92%E9%98%B2%E7%81%AB%E5%A2%99</x:v>
      </x:c>
      <x:c r="V33" s="35" t="n">
        <x:v>99085</x:v>
      </x:c>
      <x:c r="W33" s="35" t="n">
        <x:v>200</x:v>
      </x:c>
      <x:c r="X33" s="35" t="str">
        <x:v>0dff01418203ef0b8953f58ea464daa675e1f7dcf15d3e8f7a1862dea70d1d07</x:v>
      </x:c>
      <x:c r="Y33" s="36" t="b">
        <x:v>1</x:v>
      </x:c>
      <x:c r="Z33" s="36" t="b">
        <x:v>1</x:v>
      </x:c>
      <x:c r="AA33" s="35" t="str">
        <x:v>HTTP 567（限流/反爬）</x:v>
      </x:c>
      <x:c r="AB33" s="35" t="str"/>
      <x:c r="AC33" s="35" t="str">
        <x:v>equipment-contact-02.png</x:v>
      </x:c>
      <x:c r="AD33" s="35" t="str">
        <x:v>第3行第2列</x:v>
      </x:c>
      <x:c r="AE33" s="35" t="str">
        <x:v>逐项可见；未见空白、破损、异常裁切或相邻错位</x:v>
      </x:c>
      <x:c r="AF33" s="35" t="str">
        <x:v>同图多ID；识别时必须保留CandidateIds/Unknown，不得强收敛</x:v>
      </x:c>
      <x:c r="AG33" s="35" t="str">
        <x:v>BWIKI oldid=99085+PatchWiki；米游社官方V4.2仅支持骇客改件类别语义，不逐项支持16个子名称/图标</x:v>
      </x:c>
      <x:c r="AH33" s="35" t="str">
        <x:v>仅凭图标无法区分本簇具体ID</x:v>
      </x:c>
      <x:c r="AI33" s="40" t="str">
        <x:f>IF(OR(K33&lt;&gt;L33,M33&lt;&gt;TRUE,Y33&lt;&gt;TRUE,Z33&lt;&gt;TRUE),"冲突",IF(OR(D33="？",D33="？？？"),"分类冲突待确认",IF(N33&gt;1,"图标一致；具体ID不唯一","图标/名称/来源无已发现冲突")))</x:f>
        <x:v>图标一致；具体ID不唯一</x:v>
      </x:c>
    </x:row>
    <x:row r="34" ht="38" customHeight="1">
      <x:c r="A34" s="35" t="n">
        <x:v>33</x:v>
      </x:c>
      <x:c r="B34" s="35" t="str">
        <x:v>currency_wars_equipment_035</x:v>
      </x:c>
      <x:c r="C34" s="35" t="str">
        <x:v>病毒防火墙Max</x:v>
      </x:c>
      <x:c r="D34" s="35" t="str">
        <x:v>骇客改件</x:v>
      </x:c>
      <x:c r="E34" s="35" t="str">
        <x:v>hacking_component</x:v>
      </x:c>
      <x:c r="F34" s="35" t="str">
        <x:v>是</x:v>
      </x:c>
      <x:c r="G34" s="35" t="str">
        <x:v>否</x:v>
      </x:c>
      <x:c r="H34" s="35" t="str"/>
      <x:c r="I34" s="35" t="str"/>
      <x:c r="J34" s="35" t="str">
        <x:v>assets/currency_wars_equipment_icons/currency_wars_equipment_035.png</x:v>
      </x:c>
      <x:c r="K34" s="35" t="str">
        <x:v>0dff01418203ef0b8953f58ea464daa675e1f7dcf15d3e8f7a1862dea70d1d07</x:v>
      </x:c>
      <x:c r="L34" s="35" t="str">
        <x:v>0dff01418203ef0b8953f58ea464daa675e1f7dcf15d3e8f7a1862dea70d1d07</x:v>
      </x:c>
      <x:c r="M34" s="36" t="b">
        <x:v>1</x:v>
      </x:c>
      <x:c r="N34" s="39" t="n">
        <x:f>COUNTIF($L$2:$L$158,L34)</x:f>
        <x:v>2</x:v>
      </x:c>
      <x:c r="O34" s="39" t="str">
        <x:v>034；035</x:v>
      </x:c>
      <x:c r="P34" s="39" t="str">
        <x:v>病毒防火墙；病毒防火墙Max</x:v>
      </x:c>
      <x:c r="Q34" s="35" t="n">
        <x:v>30116</x:v>
      </x:c>
      <x:c r="R34" s="35" t="n">
        <x:v>128</x:v>
      </x:c>
      <x:c r="S34" s="35" t="n">
        <x:v>128</x:v>
      </x:c>
      <x:c r="T34" s="35" t="str">
        <x:v>https://patchwiki.biligame.com/images/sr/d/d8/qfh49x0x28j4oxozvjtvvrdo1qxg92t.png</x:v>
      </x:c>
      <x:c r="U34" s="35" t="str">
        <x:v>https://wiki.biligame.com/sr/%E7%97%85%E6%AF%92%E9%98%B2%E7%81%AB%E5%A2%99Max</x:v>
      </x:c>
      <x:c r="V34" s="35" t="n">
        <x:v>99085</x:v>
      </x:c>
      <x:c r="W34" s="35" t="n">
        <x:v>200</x:v>
      </x:c>
      <x:c r="X34" s="35" t="str">
        <x:v>0dff01418203ef0b8953f58ea464daa675e1f7dcf15d3e8f7a1862dea70d1d07</x:v>
      </x:c>
      <x:c r="Y34" s="36" t="b">
        <x:v>1</x:v>
      </x:c>
      <x:c r="Z34" s="36" t="b">
        <x:v>1</x:v>
      </x:c>
      <x:c r="AA34" s="35" t="str">
        <x:v>HTTP 567（限流/反爬）</x:v>
      </x:c>
      <x:c r="AB34" s="35" t="str"/>
      <x:c r="AC34" s="35" t="str">
        <x:v>equipment-contact-02.png</x:v>
      </x:c>
      <x:c r="AD34" s="35" t="str">
        <x:v>第3行第3列</x:v>
      </x:c>
      <x:c r="AE34" s="35" t="str">
        <x:v>逐项可见；未见空白、破损、异常裁切或相邻错位</x:v>
      </x:c>
      <x:c r="AF34" s="35" t="str">
        <x:v>同图多ID；识别时必须保留CandidateIds/Unknown，不得强收敛</x:v>
      </x:c>
      <x:c r="AG34" s="35" t="str">
        <x:v>BWIKI oldid=99085+PatchWiki；米游社官方V4.2仅支持骇客改件类别语义，不逐项支持16个子名称/图标</x:v>
      </x:c>
      <x:c r="AH34" s="35" t="str">
        <x:v>仅凭图标无法区分本簇具体ID</x:v>
      </x:c>
      <x:c r="AI34" s="40" t="str">
        <x:f>IF(OR(K34&lt;&gt;L34,M34&lt;&gt;TRUE,Y34&lt;&gt;TRUE,Z34&lt;&gt;TRUE),"冲突",IF(OR(D34="？",D34="？？？"),"分类冲突待确认",IF(N34&gt;1,"图标一致；具体ID不唯一","图标/名称/来源无已发现冲突")))</x:f>
        <x:v>图标一致；具体ID不唯一</x:v>
      </x:c>
    </x:row>
    <x:row r="35" ht="38" customHeight="1">
      <x:c r="A35" s="35" t="n">
        <x:v>34</x:v>
      </x:c>
      <x:c r="B35" s="35" t="str">
        <x:v>currency_wars_equipment_036</x:v>
      </x:c>
      <x:c r="C35" s="35" t="str">
        <x:v>破解芯片</x:v>
      </x:c>
      <x:c r="D35" s="35" t="str">
        <x:v>骇客改件</x:v>
      </x:c>
      <x:c r="E35" s="35" t="str">
        <x:v>hacking_component</x:v>
      </x:c>
      <x:c r="F35" s="35" t="str">
        <x:v>是</x:v>
      </x:c>
      <x:c r="G35" s="35" t="str">
        <x:v>否</x:v>
      </x:c>
      <x:c r="H35" s="35" t="str"/>
      <x:c r="I35" s="35" t="str"/>
      <x:c r="J35" s="35" t="str">
        <x:v>assets/currency_wars_equipment_icons/currency_wars_equipment_036.png</x:v>
      </x:c>
      <x:c r="K35" s="35" t="str">
        <x:v>7f1683113b9e41cda1a63b4e538b1281cd1da09ce3952c5693e0ebba607626ee</x:v>
      </x:c>
      <x:c r="L35" s="35" t="str">
        <x:v>7f1683113b9e41cda1a63b4e538b1281cd1da09ce3952c5693e0ebba607626ee</x:v>
      </x:c>
      <x:c r="M35" s="36" t="b">
        <x:v>1</x:v>
      </x:c>
      <x:c r="N35" s="35" t="n">
        <x:f>COUNTIF($L$2:$L$158,L35)</x:f>
        <x:v>1</x:v>
      </x:c>
      <x:c r="O35" s="35" t="str">
        <x:v>036</x:v>
      </x:c>
      <x:c r="P35" s="35" t="str">
        <x:v>破解芯片</x:v>
      </x:c>
      <x:c r="Q35" s="35" t="n">
        <x:v>31045</x:v>
      </x:c>
      <x:c r="R35" s="35" t="n">
        <x:v>128</x:v>
      </x:c>
      <x:c r="S35" s="35" t="n">
        <x:v>128</x:v>
      </x:c>
      <x:c r="T35" s="35" t="str">
        <x:v>https://patchwiki.biligame.com/images/sr/f/fb/m434g5lpflmkuhum94x1vkdpf95s04v.png</x:v>
      </x:c>
      <x:c r="U35" s="35" t="str">
        <x:v>https://wiki.biligame.com/sr/%E7%A0%B4%E8%A7%A3%E8%8A%AF%E7%89%87</x:v>
      </x:c>
      <x:c r="V35" s="35" t="n">
        <x:v>99085</x:v>
      </x:c>
      <x:c r="W35" s="35" t="n">
        <x:v>200</x:v>
      </x:c>
      <x:c r="X35" s="35" t="str">
        <x:v>7f1683113b9e41cda1a63b4e538b1281cd1da09ce3952c5693e0ebba607626ee</x:v>
      </x:c>
      <x:c r="Y35" s="36" t="b">
        <x:v>1</x:v>
      </x:c>
      <x:c r="Z35" s="36" t="b">
        <x:v>1</x:v>
      </x:c>
      <x:c r="AA35" s="35" t="str">
        <x:v>HTTP 567（限流/反爬）</x:v>
      </x:c>
      <x:c r="AB35" s="35" t="str"/>
      <x:c r="AC35" s="35" t="str">
        <x:v>equipment-contact-02.png</x:v>
      </x:c>
      <x:c r="AD35" s="35" t="str">
        <x:v>第3行第4列</x:v>
      </x:c>
      <x:c r="AE35" s="35" t="str">
        <x:v>逐项可见；未见空白、破损、异常裁切或相邻错位</x:v>
      </x:c>
      <x:c r="AF35" s="35" t="str">
        <x:v>本地哈希唯一；未发现图标与名称错位</x:v>
      </x:c>
      <x:c r="AG35" s="35" t="str">
        <x:v>BWIKI oldid=99085+PatchWiki；米游社官方V4.2仅支持骇客改件类别语义，不逐项支持16个子名称/图标</x:v>
      </x:c>
      <x:c r="AH35" s="35" t="str">
        <x:v>单条详情页本轮受限流/反爬影响，未获得独立页面实证</x:v>
      </x:c>
      <x:c r="AI35" s="38" t="str">
        <x:f>IF(OR(K35&lt;&gt;L35,M35&lt;&gt;TRUE,Y35&lt;&gt;TRUE,Z35&lt;&gt;TRUE),"冲突",IF(OR(D35="？",D35="？？？"),"分类冲突待确认",IF(N35&gt;1,"图标一致；具体ID不唯一","图标/名称/来源无已发现冲突")))</x:f>
        <x:v>图标/名称/来源无已发现冲突</x:v>
      </x:c>
    </x:row>
    <x:row r="36" ht="38" customHeight="1">
      <x:c r="A36" s="35" t="n">
        <x:v>35</x:v>
      </x:c>
      <x:c r="B36" s="35" t="str">
        <x:v>currency_wars_equipment_037</x:v>
      </x:c>
      <x:c r="C36" s="35" t="str">
        <x:v>管理员手套ProMax</x:v>
      </x:c>
      <x:c r="D36" s="35" t="str">
        <x:v>骇客改件</x:v>
      </x:c>
      <x:c r="E36" s="35" t="str">
        <x:v>hacking_component</x:v>
      </x:c>
      <x:c r="F36" s="35" t="str">
        <x:v>是</x:v>
      </x:c>
      <x:c r="G36" s="35" t="str">
        <x:v>否</x:v>
      </x:c>
      <x:c r="H36" s="35" t="str"/>
      <x:c r="I36" s="35" t="str"/>
      <x:c r="J36" s="35" t="str">
        <x:v>assets/currency_wars_equipment_icons/currency_wars_equipment_037.png</x:v>
      </x:c>
      <x:c r="K36" s="35" t="str">
        <x:v>5bac56504b1db84ae69062e3ecd70d19a3b66d62bae4054de1f2e407624032fd</x:v>
      </x:c>
      <x:c r="L36" s="35" t="str">
        <x:v>5bac56504b1db84ae69062e3ecd70d19a3b66d62bae4054de1f2e407624032fd</x:v>
      </x:c>
      <x:c r="M36" s="36" t="b">
        <x:v>1</x:v>
      </x:c>
      <x:c r="N36" s="35" t="n">
        <x:f>COUNTIF($L$2:$L$158,L36)</x:f>
        <x:v>1</x:v>
      </x:c>
      <x:c r="O36" s="35" t="str">
        <x:v>037</x:v>
      </x:c>
      <x:c r="P36" s="35" t="str">
        <x:v>管理员手套ProMax</x:v>
      </x:c>
      <x:c r="Q36" s="35" t="n">
        <x:v>32843</x:v>
      </x:c>
      <x:c r="R36" s="35" t="n">
        <x:v>128</x:v>
      </x:c>
      <x:c r="S36" s="35" t="n">
        <x:v>128</x:v>
      </x:c>
      <x:c r="T36" s="35" t="str">
        <x:v>https://patchwiki.biligame.com/images/sr/5/59/2emick776yvh75j4ufh5knj1l1i25l0.png</x:v>
      </x:c>
      <x:c r="U36" s="35" t="str">
        <x:v>https://wiki.biligame.com/sr/%E7%AE%A1%E7%90%86%E5%91%98%E6%89%8B%E5%A5%97ProMax</x:v>
      </x:c>
      <x:c r="V36" s="35" t="n">
        <x:v>99085</x:v>
      </x:c>
      <x:c r="W36" s="35" t="n">
        <x:v>200</x:v>
      </x:c>
      <x:c r="X36" s="35" t="str">
        <x:v>5bac56504b1db84ae69062e3ecd70d19a3b66d62bae4054de1f2e407624032fd</x:v>
      </x:c>
      <x:c r="Y36" s="36" t="b">
        <x:v>1</x:v>
      </x:c>
      <x:c r="Z36" s="36" t="b">
        <x:v>1</x:v>
      </x:c>
      <x:c r="AA36" s="35" t="str">
        <x:v>HTTP 567（限流/反爬）</x:v>
      </x:c>
      <x:c r="AB36" s="35" t="str"/>
      <x:c r="AC36" s="35" t="str">
        <x:v>equipment-contact-02.png</x:v>
      </x:c>
      <x:c r="AD36" s="35" t="str">
        <x:v>第3行第5列</x:v>
      </x:c>
      <x:c r="AE36" s="35" t="str">
        <x:v>逐项可见；未见空白、破损、异常裁切或相邻错位</x:v>
      </x:c>
      <x:c r="AF36" s="35" t="str">
        <x:v>本地哈希唯一；未发现图标与名称错位</x:v>
      </x:c>
      <x:c r="AG36" s="35" t="str">
        <x:v>BWIKI oldid=99085+PatchWiki；米游社官方V4.2仅支持骇客改件类别语义，不逐项支持16个子名称/图标</x:v>
      </x:c>
      <x:c r="AH36" s="35" t="str">
        <x:v>单条详情页本轮受限流/反爬影响，未获得独立页面实证</x:v>
      </x:c>
      <x:c r="AI36" s="38" t="str">
        <x:f>IF(OR(K36&lt;&gt;L36,M36&lt;&gt;TRUE,Y36&lt;&gt;TRUE,Z36&lt;&gt;TRUE),"冲突",IF(OR(D36="？",D36="？？？"),"分类冲突待确认",IF(N36&gt;1,"图标一致；具体ID不唯一","图标/名称/来源无已发现冲突")))</x:f>
        <x:v>图标/名称/来源无已发现冲突</x:v>
      </x:c>
    </x:row>
    <x:row r="37" ht="38" customHeight="1">
      <x:c r="A37" s="35" t="n">
        <x:v>36</x:v>
      </x:c>
      <x:c r="B37" s="35" t="str">
        <x:v>currency_wars_equipment_038</x:v>
      </x:c>
      <x:c r="C37" s="35" t="str">
        <x:v>垃圾袋</x:v>
      </x:c>
      <x:c r="D37" s="41" t="str">
        <x:v>？</x:v>
      </x:c>
      <x:c r="E37" s="41" t="str">
        <x:v>special_material</x:v>
      </x:c>
      <x:c r="F37" s="41" t="str">
        <x:v>是</x:v>
      </x:c>
      <x:c r="G37" s="41" t="str">
        <x:v>是</x:v>
      </x:c>
      <x:c r="H37" s="41" t="str"/>
      <x:c r="I37" s="41" t="str"/>
      <x:c r="J37" s="41" t="str">
        <x:v>assets/currency_wars_equipment_icons/currency_wars_equipment_038.png</x:v>
      </x:c>
      <x:c r="K37" s="41" t="str">
        <x:v>dcff06368995fd6ca429b87f3885c8d6db241fbcd9492ddb245e9ba6b828e98f</x:v>
      </x:c>
      <x:c r="L37" s="41" t="str">
        <x:v>dcff06368995fd6ca429b87f3885c8d6db241fbcd9492ddb245e9ba6b828e98f</x:v>
      </x:c>
      <x:c r="M37" s="42" t="b">
        <x:v>1</x:v>
      </x:c>
      <x:c r="N37" s="41" t="n">
        <x:f>COUNTIF($L$2:$L$158,L37)</x:f>
        <x:v>1</x:v>
      </x:c>
      <x:c r="O37" s="41" t="str">
        <x:v>038</x:v>
      </x:c>
      <x:c r="P37" s="41" t="str">
        <x:v>垃圾袋</x:v>
      </x:c>
      <x:c r="Q37" s="41" t="n">
        <x:v>25685</x:v>
      </x:c>
      <x:c r="R37" s="41" t="n">
        <x:v>128</x:v>
      </x:c>
      <x:c r="S37" s="41" t="n">
        <x:v>128</x:v>
      </x:c>
      <x:c r="T37" s="41" t="str">
        <x:v>https://patchwiki.biligame.com/images/sr/6/68/tfubi1plc8f6cbakh2y7jwl2fi493ln.png</x:v>
      </x:c>
      <x:c r="U37" s="41" t="str">
        <x:v>https://wiki.biligame.com/sr/%E5%9E%83%E5%9C%BE%E8%A2%8B</x:v>
      </x:c>
      <x:c r="V37" s="41" t="n">
        <x:v>99085</x:v>
      </x:c>
      <x:c r="W37" s="41" t="n">
        <x:v>200</x:v>
      </x:c>
      <x:c r="X37" s="41" t="str">
        <x:v>dcff06368995fd6ca429b87f3885c8d6db241fbcd9492ddb245e9ba6b828e98f</x:v>
      </x:c>
      <x:c r="Y37" s="42" t="b">
        <x:v>1</x:v>
      </x:c>
      <x:c r="Z37" s="42" t="b">
        <x:v>1</x:v>
      </x:c>
      <x:c r="AA37" s="41" t="str">
        <x:v>HTTP 567（限流/反爬）</x:v>
      </x:c>
      <x:c r="AB37" s="41" t="str"/>
      <x:c r="AC37" s="41" t="str">
        <x:v>equipment-contact-02.png</x:v>
      </x:c>
      <x:c r="AD37" s="41" t="str">
        <x:v>第4行第1列</x:v>
      </x:c>
      <x:c r="AE37" s="41" t="str">
        <x:v>逐项可见；未见空白、破损、异常裁切或相邻错位</x:v>
      </x:c>
      <x:c r="AF37" s="41" t="str">
        <x:v>本地哈希唯一；未发现图标与名称错位</x:v>
      </x:c>
      <x:c r="AG37" s="41" t="str">
        <x:v>BWIKI oldid=99085+PatchWiki；米游社官方V4.0直接支持垃圾袋/金垃圾袋属于新增装备（不提供单项图标）</x:v>
      </x:c>
      <x:c r="AH37" s="41" t="str">
        <x:v>上游类型为“？”，本地映射 special_material；分类未获可靠来源确认</x:v>
      </x:c>
      <x:c r="AI37" s="43" t="str">
        <x:f>IF(OR(K37&lt;&gt;L37,M37&lt;&gt;TRUE,Y37&lt;&gt;TRUE,Z37&lt;&gt;TRUE),"冲突",IF(OR(D37="？",D37="？？？"),"分类冲突待确认",IF(N37&gt;1,"图标一致；具体ID不唯一","图标/名称/来源无已发现冲突")))</x:f>
        <x:v>分类冲突待确认</x:v>
      </x:c>
    </x:row>
    <x:row r="38" ht="38" customHeight="1">
      <x:c r="A38" s="35" t="n">
        <x:v>37</x:v>
      </x:c>
      <x:c r="B38" s="35" t="str">
        <x:v>currency_wars_equipment_039</x:v>
      </x:c>
      <x:c r="C38" s="35" t="str">
        <x:v>金垃圾袋</x:v>
      </x:c>
      <x:c r="D38" s="41" t="str">
        <x:v>？？？</x:v>
      </x:c>
      <x:c r="E38" s="41" t="str">
        <x:v>special_material</x:v>
      </x:c>
      <x:c r="F38" s="41" t="str">
        <x:v>是</x:v>
      </x:c>
      <x:c r="G38" s="41" t="str">
        <x:v>是</x:v>
      </x:c>
      <x:c r="H38" s="41" t="str"/>
      <x:c r="I38" s="41" t="str"/>
      <x:c r="J38" s="41" t="str">
        <x:v>assets/currency_wars_equipment_icons/currency_wars_equipment_039.png</x:v>
      </x:c>
      <x:c r="K38" s="41" t="str">
        <x:v>b8999031cac93715af548d29aeae29006fd0ccb2d993f830593dc9d2f3099e49</x:v>
      </x:c>
      <x:c r="L38" s="41" t="str">
        <x:v>b8999031cac93715af548d29aeae29006fd0ccb2d993f830593dc9d2f3099e49</x:v>
      </x:c>
      <x:c r="M38" s="42" t="b">
        <x:v>1</x:v>
      </x:c>
      <x:c r="N38" s="41" t="n">
        <x:f>COUNTIF($L$2:$L$158,L38)</x:f>
        <x:v>1</x:v>
      </x:c>
      <x:c r="O38" s="41" t="str">
        <x:v>039</x:v>
      </x:c>
      <x:c r="P38" s="41" t="str">
        <x:v>金垃圾袋</x:v>
      </x:c>
      <x:c r="Q38" s="41" t="n">
        <x:v>29806</x:v>
      </x:c>
      <x:c r="R38" s="41" t="n">
        <x:v>128</x:v>
      </x:c>
      <x:c r="S38" s="41" t="n">
        <x:v>128</x:v>
      </x:c>
      <x:c r="T38" s="41" t="str">
        <x:v>https://patchwiki.biligame.com/images/sr/2/2a/8ubsp3k0083fix177nan94xruy3h6qc.png</x:v>
      </x:c>
      <x:c r="U38" s="41" t="str">
        <x:v>https://wiki.biligame.com/sr/%E9%87%91%E5%9E%83%E5%9C%BE%E8%A2%8B</x:v>
      </x:c>
      <x:c r="V38" s="41" t="n">
        <x:v>99085</x:v>
      </x:c>
      <x:c r="W38" s="41" t="n">
        <x:v>200</x:v>
      </x:c>
      <x:c r="X38" s="41" t="str">
        <x:v>b8999031cac93715af548d29aeae29006fd0ccb2d993f830593dc9d2f3099e49</x:v>
      </x:c>
      <x:c r="Y38" s="42" t="b">
        <x:v>1</x:v>
      </x:c>
      <x:c r="Z38" s="42" t="b">
        <x:v>1</x:v>
      </x:c>
      <x:c r="AA38" s="41" t="str">
        <x:v>HTTP 567（限流/反爬）</x:v>
      </x:c>
      <x:c r="AB38" s="41" t="str"/>
      <x:c r="AC38" s="41" t="str">
        <x:v>equipment-contact-02.png</x:v>
      </x:c>
      <x:c r="AD38" s="41" t="str">
        <x:v>第4行第2列</x:v>
      </x:c>
      <x:c r="AE38" s="41" t="str">
        <x:v>逐项可见；未见空白、破损、异常裁切或相邻错位</x:v>
      </x:c>
      <x:c r="AF38" s="41" t="str">
        <x:v>本地哈希唯一；未发现图标与名称错位</x:v>
      </x:c>
      <x:c r="AG38" s="41" t="str">
        <x:v>BWIKI oldid=99085+PatchWiki；米游社官方V4.0直接支持垃圾袋/金垃圾袋属于新增装备（不提供单项图标）</x:v>
      </x:c>
      <x:c r="AH38" s="41" t="str">
        <x:v>上游类型为“？？？”，本地映射 special_material；分类未获可靠来源确认</x:v>
      </x:c>
      <x:c r="AI38" s="43" t="str">
        <x:f>IF(OR(K38&lt;&gt;L38,M38&lt;&gt;TRUE,Y38&lt;&gt;TRUE,Z38&lt;&gt;TRUE),"冲突",IF(OR(D38="？",D38="？？？"),"分类冲突待确认",IF(N38&gt;1,"图标一致；具体ID不唯一","图标/名称/来源无已发现冲突")))</x:f>
        <x:v>分类冲突待确认</x:v>
      </x:c>
    </x:row>
    <x:row r="39" ht="38" customHeight="1">
      <x:c r="A39" s="35" t="n">
        <x:v>38</x:v>
      </x:c>
      <x:c r="B39" s="35" t="str">
        <x:v>currency_wars_equipment_040</x:v>
      </x:c>
      <x:c r="C39" s="35" t="str">
        <x:v>以太钻头</x:v>
      </x:c>
      <x:c r="D39" s="35" t="str">
        <x:v>简易装备</x:v>
      </x:c>
      <x:c r="E39" s="35" t="str">
        <x:v>basic</x:v>
      </x:c>
      <x:c r="F39" s="35" t="str">
        <x:v>是</x:v>
      </x:c>
      <x:c r="G39" s="35" t="str">
        <x:v>是</x:v>
      </x:c>
      <x:c r="H39" s="35" t="str"/>
      <x:c r="I39" s="35" t="str"/>
      <x:c r="J39" s="35" t="str">
        <x:v>assets/currency_wars_equipment_icons/currency_wars_equipment_040.png</x:v>
      </x:c>
      <x:c r="K39" s="35" t="str">
        <x:v>3bf2828af7d7ddb7fc4dd7ec056806d1e4c0b52088be0c8ed5f43047b70de715</x:v>
      </x:c>
      <x:c r="L39" s="35" t="str">
        <x:v>3bf2828af7d7ddb7fc4dd7ec056806d1e4c0b52088be0c8ed5f43047b70de715</x:v>
      </x:c>
      <x:c r="M39" s="36" t="b">
        <x:v>1</x:v>
      </x:c>
      <x:c r="N39" s="35" t="n">
        <x:f>COUNTIF($L$2:$L$158,L39)</x:f>
        <x:v>1</x:v>
      </x:c>
      <x:c r="O39" s="35" t="str">
        <x:v>040</x:v>
      </x:c>
      <x:c r="P39" s="35" t="str">
        <x:v>以太钻头</x:v>
      </x:c>
      <x:c r="Q39" s="35" t="n">
        <x:v>13641</x:v>
      </x:c>
      <x:c r="R39" s="35" t="n">
        <x:v>98</x:v>
      </x:c>
      <x:c r="S39" s="35" t="n">
        <x:v>100</x:v>
      </x:c>
      <x:c r="T39" s="35" t="str">
        <x:v>https://patchwiki.biligame.com/images/sr/6/6e/bhk964m385zlsbozvgxuyp143xatr3t.png</x:v>
      </x:c>
      <x:c r="U39" s="35" t="str">
        <x:v>https://wiki.biligame.com/sr/%E4%BB%A5%E5%A4%AA%E9%92%BB%E5%A4%B4</x:v>
      </x:c>
      <x:c r="V39" s="35" t="n">
        <x:v>99085</x:v>
      </x:c>
      <x:c r="W39" s="35" t="n">
        <x:v>200</x:v>
      </x:c>
      <x:c r="X39" s="35" t="str">
        <x:v>3bf2828af7d7ddb7fc4dd7ec056806d1e4c0b52088be0c8ed5f43047b70de715</x:v>
      </x:c>
      <x:c r="Y39" s="36" t="b">
        <x:v>1</x:v>
      </x:c>
      <x:c r="Z39" s="36" t="b">
        <x:v>1</x:v>
      </x:c>
      <x:c r="AA39" s="35" t="str">
        <x:v>HTTP 567（限流/反爬）</x:v>
      </x:c>
      <x:c r="AB39" s="35" t="str"/>
      <x:c r="AC39" s="35" t="str">
        <x:v>equipment-contact-02.png</x:v>
      </x:c>
      <x:c r="AD39" s="35" t="str">
        <x:v>第4行第3列</x:v>
      </x:c>
      <x:c r="AE39" s="35" t="str">
        <x:v>逐项可见；未见空白、破损、异常裁切或相邻错位</x:v>
      </x:c>
      <x:c r="AF39" s="35" t="str">
        <x:v>本地哈希唯一；未发现图标与名称错位</x:v>
      </x:c>
      <x:c r="AG39" s="35" t="str">
        <x:v>BWIKI oldid=99085+PatchWiki；米游社官方资料仅提供玩法或少量条目补充</x:v>
      </x:c>
      <x:c r="AH39" s="35" t="str">
        <x:v>单条详情页本轮受限流/反爬影响，未获得独立页面实证</x:v>
      </x:c>
      <x:c r="AI39" s="38" t="str">
        <x:f>IF(OR(K39&lt;&gt;L39,M39&lt;&gt;TRUE,Y39&lt;&gt;TRUE,Z39&lt;&gt;TRUE),"冲突",IF(OR(D39="？",D39="？？？"),"分类冲突待确认",IF(N39&gt;1,"图标一致；具体ID不唯一","图标/名称/来源无已发现冲突")))</x:f>
        <x:v>图标/名称/来源无已发现冲突</x:v>
      </x:c>
    </x:row>
    <x:row r="40" ht="38" customHeight="1">
      <x:c r="A40" s="35" t="n">
        <x:v>39</x:v>
      </x:c>
      <x:c r="B40" s="35" t="str">
        <x:v>currency_wars_equipment_041</x:v>
      </x:c>
      <x:c r="C40" s="35" t="str">
        <x:v>光能电池</x:v>
      </x:c>
      <x:c r="D40" s="35" t="str">
        <x:v>简易装备</x:v>
      </x:c>
      <x:c r="E40" s="35" t="str">
        <x:v>basic</x:v>
      </x:c>
      <x:c r="F40" s="35" t="str">
        <x:v>是</x:v>
      </x:c>
      <x:c r="G40" s="35" t="str">
        <x:v>是</x:v>
      </x:c>
      <x:c r="H40" s="35" t="str"/>
      <x:c r="I40" s="35" t="str"/>
      <x:c r="J40" s="35" t="str">
        <x:v>assets/currency_wars_equipment_icons/currency_wars_equipment_041.png</x:v>
      </x:c>
      <x:c r="K40" s="35" t="str">
        <x:v>9f391d51343b6fbdeb159b5832d4013412170df6dd49f2d4f407e54e9f7f0013</x:v>
      </x:c>
      <x:c r="L40" s="35" t="str">
        <x:v>9f391d51343b6fbdeb159b5832d4013412170df6dd49f2d4f407e54e9f7f0013</x:v>
      </x:c>
      <x:c r="M40" s="36" t="b">
        <x:v>1</x:v>
      </x:c>
      <x:c r="N40" s="35" t="n">
        <x:f>COUNTIF($L$2:$L$158,L40)</x:f>
        <x:v>1</x:v>
      </x:c>
      <x:c r="O40" s="35" t="str">
        <x:v>041</x:v>
      </x:c>
      <x:c r="P40" s="35" t="str">
        <x:v>光能电池</x:v>
      </x:c>
      <x:c r="Q40" s="35" t="n">
        <x:v>14421</x:v>
      </x:c>
      <x:c r="R40" s="35" t="n">
        <x:v>105</x:v>
      </x:c>
      <x:c r="S40" s="35" t="n">
        <x:v>106</x:v>
      </x:c>
      <x:c r="T40" s="35" t="str">
        <x:v>https://patchwiki.biligame.com/images/sr/5/5a/s5tbp47335hgbqoey7at9rquqdwzgw4.png</x:v>
      </x:c>
      <x:c r="U40" s="35" t="str">
        <x:v>https://wiki.biligame.com/sr/%E5%85%89%E8%83%BD%E7%94%B5%E6%B1%A0</x:v>
      </x:c>
      <x:c r="V40" s="35" t="n">
        <x:v>99085</x:v>
      </x:c>
      <x:c r="W40" s="35" t="n">
        <x:v>200</x:v>
      </x:c>
      <x:c r="X40" s="35" t="str">
        <x:v>9f391d51343b6fbdeb159b5832d4013412170df6dd49f2d4f407e54e9f7f0013</x:v>
      </x:c>
      <x:c r="Y40" s="36" t="b">
        <x:v>1</x:v>
      </x:c>
      <x:c r="Z40" s="36" t="b">
        <x:v>1</x:v>
      </x:c>
      <x:c r="AA40" s="35" t="str">
        <x:v>HTTP 567（限流/反爬）</x:v>
      </x:c>
      <x:c r="AB40" s="35" t="str"/>
      <x:c r="AC40" s="35" t="str">
        <x:v>equipment-contact-02.png</x:v>
      </x:c>
      <x:c r="AD40" s="35" t="str">
        <x:v>第4行第4列</x:v>
      </x:c>
      <x:c r="AE40" s="35" t="str">
        <x:v>逐项可见；未见空白、破损、异常裁切或相邻错位</x:v>
      </x:c>
      <x:c r="AF40" s="35" t="str">
        <x:v>本地哈希唯一；未发现图标与名称错位</x:v>
      </x:c>
      <x:c r="AG40" s="35" t="str">
        <x:v>BWIKI oldid=99085+PatchWiki；米游社官方资料仅提供玩法或少量条目补充</x:v>
      </x:c>
      <x:c r="AH40" s="35" t="str">
        <x:v>单条详情页本轮受限流/反爬影响，未获得独立页面实证</x:v>
      </x:c>
      <x:c r="AI40" s="38" t="str">
        <x:f>IF(OR(K40&lt;&gt;L40,M40&lt;&gt;TRUE,Y40&lt;&gt;TRUE,Z40&lt;&gt;TRUE),"冲突",IF(OR(D40="？",D40="？？？"),"分类冲突待确认",IF(N40&gt;1,"图标一致；具体ID不唯一","图标/名称/来源无已发现冲突")))</x:f>
        <x:v>图标/名称/来源无已发现冲突</x:v>
      </x:c>
    </x:row>
    <x:row r="41" ht="38" customHeight="1">
      <x:c r="A41" s="35" t="n">
        <x:v>40</x:v>
      </x:c>
      <x:c r="B41" s="35" t="str">
        <x:v>currency_wars_equipment_042</x:v>
      </x:c>
      <x:c r="C41" s="35" t="str">
        <x:v>和平手枪</x:v>
      </x:c>
      <x:c r="D41" s="35" t="str">
        <x:v>简易装备</x:v>
      </x:c>
      <x:c r="E41" s="35" t="str">
        <x:v>basic</x:v>
      </x:c>
      <x:c r="F41" s="35" t="str">
        <x:v>是</x:v>
      </x:c>
      <x:c r="G41" s="35" t="str">
        <x:v>是</x:v>
      </x:c>
      <x:c r="H41" s="35" t="str"/>
      <x:c r="I41" s="35" t="str"/>
      <x:c r="J41" s="35" t="str">
        <x:v>assets/currency_wars_equipment_icons/currency_wars_equipment_042.png</x:v>
      </x:c>
      <x:c r="K41" s="35" t="str">
        <x:v>7fe80889efea95eea2445faadc74748aa5c236bad00ed96e1111d6b91b03eb09</x:v>
      </x:c>
      <x:c r="L41" s="35" t="str">
        <x:v>7fe80889efea95eea2445faadc74748aa5c236bad00ed96e1111d6b91b03eb09</x:v>
      </x:c>
      <x:c r="M41" s="36" t="b">
        <x:v>1</x:v>
      </x:c>
      <x:c r="N41" s="35" t="n">
        <x:f>COUNTIF($L$2:$L$158,L41)</x:f>
        <x:v>1</x:v>
      </x:c>
      <x:c r="O41" s="35" t="str">
        <x:v>042</x:v>
      </x:c>
      <x:c r="P41" s="35" t="str">
        <x:v>和平手枪</x:v>
      </x:c>
      <x:c r="Q41" s="35" t="n">
        <x:v>16206</x:v>
      </x:c>
      <x:c r="R41" s="35" t="n">
        <x:v>115</x:v>
      </x:c>
      <x:c r="S41" s="35" t="n">
        <x:v>119</x:v>
      </x:c>
      <x:c r="T41" s="35" t="str">
        <x:v>https://patchwiki.biligame.com/images/sr/4/47/pzpvx95meoarawtue4rr20emrzkllqw.png</x:v>
      </x:c>
      <x:c r="U41" s="35" t="str">
        <x:v>https://wiki.biligame.com/sr/%E5%92%8C%E5%B9%B3%E6%89%8B%E6%9E%AA</x:v>
      </x:c>
      <x:c r="V41" s="35" t="n">
        <x:v>99085</x:v>
      </x:c>
      <x:c r="W41" s="35" t="n">
        <x:v>200</x:v>
      </x:c>
      <x:c r="X41" s="35" t="str">
        <x:v>7fe80889efea95eea2445faadc74748aa5c236bad00ed96e1111d6b91b03eb09</x:v>
      </x:c>
      <x:c r="Y41" s="36" t="b">
        <x:v>1</x:v>
      </x:c>
      <x:c r="Z41" s="36" t="b">
        <x:v>1</x:v>
      </x:c>
      <x:c r="AA41" s="35" t="str">
        <x:v>HTTP 567（限流/反爬）</x:v>
      </x:c>
      <x:c r="AB41" s="35" t="str"/>
      <x:c r="AC41" s="35" t="str">
        <x:v>equipment-contact-02.png</x:v>
      </x:c>
      <x:c r="AD41" s="35" t="str">
        <x:v>第4行第5列</x:v>
      </x:c>
      <x:c r="AE41" s="35" t="str">
        <x:v>逐项可见；未见空白、破损、异常裁切或相邻错位</x:v>
      </x:c>
      <x:c r="AF41" s="35" t="str">
        <x:v>本地哈希唯一；未发现图标与名称错位</x:v>
      </x:c>
      <x:c r="AG41" s="35" t="str">
        <x:v>BWIKI oldid=99085+PatchWiki；米游社官方资料仅提供玩法或少量条目补充</x:v>
      </x:c>
      <x:c r="AH41" s="35" t="str">
        <x:v>单条详情页本轮受限流/反爬影响，未获得独立页面实证</x:v>
      </x:c>
      <x:c r="AI41" s="38" t="str">
        <x:f>IF(OR(K41&lt;&gt;L41,M41&lt;&gt;TRUE,Y41&lt;&gt;TRUE,Z41&lt;&gt;TRUE),"冲突",IF(OR(D41="？",D41="？？？"),"分类冲突待确认",IF(N41&gt;1,"图标一致；具体ID不唯一","图标/名称/来源无已发现冲突")))</x:f>
        <x:v>图标/名称/来源无已发现冲突</x:v>
      </x:c>
    </x:row>
    <x:row r="42" ht="38" customHeight="1">
      <x:c r="A42" s="35" t="n">
        <x:v>41</x:v>
      </x:c>
      <x:c r="B42" s="35" t="str">
        <x:v>currency_wars_equipment_043</x:v>
      </x:c>
      <x:c r="C42" s="35" t="str">
        <x:v>幸运星</x:v>
      </x:c>
      <x:c r="D42" s="35" t="str">
        <x:v>简易装备</x:v>
      </x:c>
      <x:c r="E42" s="35" t="str">
        <x:v>basic</x:v>
      </x:c>
      <x:c r="F42" s="35" t="str">
        <x:v>是</x:v>
      </x:c>
      <x:c r="G42" s="35" t="str">
        <x:v>是</x:v>
      </x:c>
      <x:c r="H42" s="35" t="str"/>
      <x:c r="I42" s="35" t="str"/>
      <x:c r="J42" s="35" t="str">
        <x:v>assets/currency_wars_equipment_icons/currency_wars_equipment_043.png</x:v>
      </x:c>
      <x:c r="K42" s="35" t="str">
        <x:v>0f48b0a0f9fb6045a0c9f0955416a0016e9484e2ef46f3e1f61d84b604019bf7</x:v>
      </x:c>
      <x:c r="L42" s="35" t="str">
        <x:v>0f48b0a0f9fb6045a0c9f0955416a0016e9484e2ef46f3e1f61d84b604019bf7</x:v>
      </x:c>
      <x:c r="M42" s="36" t="b">
        <x:v>1</x:v>
      </x:c>
      <x:c r="N42" s="35" t="n">
        <x:f>COUNTIF($L$2:$L$158,L42)</x:f>
        <x:v>1</x:v>
      </x:c>
      <x:c r="O42" s="35" t="str">
        <x:v>043</x:v>
      </x:c>
      <x:c r="P42" s="35" t="str">
        <x:v>幸运星</x:v>
      </x:c>
      <x:c r="Q42" s="35" t="n">
        <x:v>13879</x:v>
      </x:c>
      <x:c r="R42" s="35" t="n">
        <x:v>110</x:v>
      </x:c>
      <x:c r="S42" s="35" t="n">
        <x:v>105</x:v>
      </x:c>
      <x:c r="T42" s="35" t="str">
        <x:v>https://patchwiki.biligame.com/images/sr/f/f0/p1elhq9rvdan8fi3fnuj7q1rj626pn0.png</x:v>
      </x:c>
      <x:c r="U42" s="35" t="str">
        <x:v>https://wiki.biligame.com/sr/%E5%B9%B8%E8%BF%90%E6%98%9F</x:v>
      </x:c>
      <x:c r="V42" s="35" t="n">
        <x:v>99085</x:v>
      </x:c>
      <x:c r="W42" s="35" t="n">
        <x:v>200</x:v>
      </x:c>
      <x:c r="X42" s="35" t="str">
        <x:v>0f48b0a0f9fb6045a0c9f0955416a0016e9484e2ef46f3e1f61d84b604019bf7</x:v>
      </x:c>
      <x:c r="Y42" s="36" t="b">
        <x:v>1</x:v>
      </x:c>
      <x:c r="Z42" s="36" t="b">
        <x:v>1</x:v>
      </x:c>
      <x:c r="AA42" s="35" t="str">
        <x:v>HTTP 567（限流/反爬）</x:v>
      </x:c>
      <x:c r="AB42" s="35" t="str"/>
      <x:c r="AC42" s="35" t="str">
        <x:v>equipment-contact-03.png</x:v>
      </x:c>
      <x:c r="AD42" s="35" t="str">
        <x:v>第1行第1列</x:v>
      </x:c>
      <x:c r="AE42" s="35" t="str">
        <x:v>逐项可见；未见空白、破损、异常裁切或相邻错位</x:v>
      </x:c>
      <x:c r="AF42" s="35" t="str">
        <x:v>本地哈希唯一；未发现图标与名称错位</x:v>
      </x:c>
      <x:c r="AG42" s="35" t="str">
        <x:v>BWIKI oldid=99085+PatchWiki；米游社官方资料仅提供玩法或少量条目补充</x:v>
      </x:c>
      <x:c r="AH42" s="35" t="str">
        <x:v>单条详情页本轮受限流/反爬影响，未获得独立页面实证</x:v>
      </x:c>
      <x:c r="AI42" s="38" t="str">
        <x:f>IF(OR(K42&lt;&gt;L42,M42&lt;&gt;TRUE,Y42&lt;&gt;TRUE,Z42&lt;&gt;TRUE),"冲突",IF(OR(D42="？",D42="？？？"),"分类冲突待确认",IF(N42&gt;1,"图标一致；具体ID不唯一","图标/名称/来源无已发现冲突")))</x:f>
        <x:v>图标/名称/来源无已发现冲突</x:v>
      </x:c>
    </x:row>
    <x:row r="43" ht="38" customHeight="1">
      <x:c r="A43" s="35" t="n">
        <x:v>42</x:v>
      </x:c>
      <x:c r="B43" s="35" t="str">
        <x:v>currency_wars_equipment_044</x:v>
      </x:c>
      <x:c r="C43" s="35" t="str">
        <x:v>折叠小刀</x:v>
      </x:c>
      <x:c r="D43" s="35" t="str">
        <x:v>简易装备</x:v>
      </x:c>
      <x:c r="E43" s="35" t="str">
        <x:v>basic</x:v>
      </x:c>
      <x:c r="F43" s="35" t="str">
        <x:v>是</x:v>
      </x:c>
      <x:c r="G43" s="35" t="str">
        <x:v>是</x:v>
      </x:c>
      <x:c r="H43" s="35" t="str"/>
      <x:c r="I43" s="35" t="str"/>
      <x:c r="J43" s="35" t="str">
        <x:v>assets/currency_wars_equipment_icons/currency_wars_equipment_044.png</x:v>
      </x:c>
      <x:c r="K43" s="35" t="str">
        <x:v>a9e3c2be6eaef07306123fd11a9c326d182a8d7ddebcea7b06489b2783c18de4</x:v>
      </x:c>
      <x:c r="L43" s="35" t="str">
        <x:v>a9e3c2be6eaef07306123fd11a9c326d182a8d7ddebcea7b06489b2783c18de4</x:v>
      </x:c>
      <x:c r="M43" s="36" t="b">
        <x:v>1</x:v>
      </x:c>
      <x:c r="N43" s="35" t="n">
        <x:f>COUNTIF($L$2:$L$158,L43)</x:f>
        <x:v>1</x:v>
      </x:c>
      <x:c r="O43" s="35" t="str">
        <x:v>044</x:v>
      </x:c>
      <x:c r="P43" s="35" t="str">
        <x:v>折叠小刀</x:v>
      </x:c>
      <x:c r="Q43" s="35" t="n">
        <x:v>11910</x:v>
      </x:c>
      <x:c r="R43" s="35" t="n">
        <x:v>115</x:v>
      </x:c>
      <x:c r="S43" s="35" t="n">
        <x:v>99</x:v>
      </x:c>
      <x:c r="T43" s="35" t="str">
        <x:v>https://patchwiki.biligame.com/images/sr/b/b6/3xtgvw37s5gakbvjzb9afhec2zkngnt.png</x:v>
      </x:c>
      <x:c r="U43" s="35" t="str">
        <x:v>https://wiki.biligame.com/sr/%E6%8A%98%E5%8F%A0%E5%B0%8F%E5%88%80</x:v>
      </x:c>
      <x:c r="V43" s="35" t="n">
        <x:v>99085</x:v>
      </x:c>
      <x:c r="W43" s="35" t="n">
        <x:v>200</x:v>
      </x:c>
      <x:c r="X43" s="35" t="str">
        <x:v>a9e3c2be6eaef07306123fd11a9c326d182a8d7ddebcea7b06489b2783c18de4</x:v>
      </x:c>
      <x:c r="Y43" s="36" t="b">
        <x:v>1</x:v>
      </x:c>
      <x:c r="Z43" s="36" t="b">
        <x:v>1</x:v>
      </x:c>
      <x:c r="AA43" s="35" t="str">
        <x:v>HTTP 567（限流/反爬）</x:v>
      </x:c>
      <x:c r="AB43" s="35" t="str"/>
      <x:c r="AC43" s="35" t="str">
        <x:v>equipment-contact-03.png</x:v>
      </x:c>
      <x:c r="AD43" s="35" t="str">
        <x:v>第1行第2列</x:v>
      </x:c>
      <x:c r="AE43" s="35" t="str">
        <x:v>逐项可见；未见空白、破损、异常裁切或相邻错位</x:v>
      </x:c>
      <x:c r="AF43" s="35" t="str">
        <x:v>本地哈希唯一；未发现图标与名称错位</x:v>
      </x:c>
      <x:c r="AG43" s="35" t="str">
        <x:v>BWIKI oldid=99085+PatchWiki；米游社官方资料仅提供玩法或少量条目补充</x:v>
      </x:c>
      <x:c r="AH43" s="35" t="str">
        <x:v>单条详情页本轮受限流/反爬影响，未获得独立页面实证</x:v>
      </x:c>
      <x:c r="AI43" s="38" t="str">
        <x:f>IF(OR(K43&lt;&gt;L43,M43&lt;&gt;TRUE,Y43&lt;&gt;TRUE,Z43&lt;&gt;TRUE),"冲突",IF(OR(D43="？",D43="？？？"),"分类冲突待确认",IF(N43&gt;1,"图标一致；具体ID不唯一","图标/名称/来源无已发现冲突")))</x:f>
        <x:v>图标/名称/来源无已发现冲突</x:v>
      </x:c>
    </x:row>
    <x:row r="44" ht="38" customHeight="1">
      <x:c r="A44" s="35" t="n">
        <x:v>43</x:v>
      </x:c>
      <x:c r="B44" s="35" t="str">
        <x:v>currency_wars_equipment_045</x:v>
      </x:c>
      <x:c r="C44" s="35" t="str">
        <x:v>生命之花</x:v>
      </x:c>
      <x:c r="D44" s="35" t="str">
        <x:v>简易装备</x:v>
      </x:c>
      <x:c r="E44" s="35" t="str">
        <x:v>basic</x:v>
      </x:c>
      <x:c r="F44" s="35" t="str">
        <x:v>是</x:v>
      </x:c>
      <x:c r="G44" s="35" t="str">
        <x:v>是</x:v>
      </x:c>
      <x:c r="H44" s="35" t="str"/>
      <x:c r="I44" s="35" t="str"/>
      <x:c r="J44" s="35" t="str">
        <x:v>assets/currency_wars_equipment_icons/currency_wars_equipment_045.png</x:v>
      </x:c>
      <x:c r="K44" s="35" t="str">
        <x:v>08498d5f24560de057cf968027c9dccf579e81bcf04cd8efb03806bda74e0a62</x:v>
      </x:c>
      <x:c r="L44" s="35" t="str">
        <x:v>08498d5f24560de057cf968027c9dccf579e81bcf04cd8efb03806bda74e0a62</x:v>
      </x:c>
      <x:c r="M44" s="36" t="b">
        <x:v>1</x:v>
      </x:c>
      <x:c r="N44" s="35" t="n">
        <x:f>COUNTIF($L$2:$L$158,L44)</x:f>
        <x:v>1</x:v>
      </x:c>
      <x:c r="O44" s="35" t="str">
        <x:v>045</x:v>
      </x:c>
      <x:c r="P44" s="35" t="str">
        <x:v>生命之花</x:v>
      </x:c>
      <x:c r="Q44" s="35" t="n">
        <x:v>19244</x:v>
      </x:c>
      <x:c r="R44" s="35" t="n">
        <x:v>105</x:v>
      </x:c>
      <x:c r="S44" s="35" t="n">
        <x:v>109</x:v>
      </x:c>
      <x:c r="T44" s="35" t="str">
        <x:v>https://patchwiki.biligame.com/images/sr/9/9b/ova1zcng0frnbh1932iij24m58031be.png</x:v>
      </x:c>
      <x:c r="U44" s="35" t="str">
        <x:v>https://wiki.biligame.com/sr/%E7%94%9F%E5%91%BD%E4%B9%8B%E8%8A%B1</x:v>
      </x:c>
      <x:c r="V44" s="35" t="n">
        <x:v>99085</x:v>
      </x:c>
      <x:c r="W44" s="35" t="n">
        <x:v>200</x:v>
      </x:c>
      <x:c r="X44" s="35" t="str">
        <x:v>08498d5f24560de057cf968027c9dccf579e81bcf04cd8efb03806bda74e0a62</x:v>
      </x:c>
      <x:c r="Y44" s="36" t="b">
        <x:v>1</x:v>
      </x:c>
      <x:c r="Z44" s="36" t="b">
        <x:v>1</x:v>
      </x:c>
      <x:c r="AA44" s="35" t="str">
        <x:v>HTTP 567（限流/反爬）</x:v>
      </x:c>
      <x:c r="AB44" s="35" t="str"/>
      <x:c r="AC44" s="35" t="str">
        <x:v>equipment-contact-03.png</x:v>
      </x:c>
      <x:c r="AD44" s="35" t="str">
        <x:v>第1行第3列</x:v>
      </x:c>
      <x:c r="AE44" s="35" t="str">
        <x:v>逐项可见；未见空白、破损、异常裁切或相邻错位</x:v>
      </x:c>
      <x:c r="AF44" s="35" t="str">
        <x:v>本地哈希唯一；未发现图标与名称错位</x:v>
      </x:c>
      <x:c r="AG44" s="35" t="str">
        <x:v>BWIKI oldid=99085+PatchWiki；米游社官方资料仅提供玩法或少量条目补充</x:v>
      </x:c>
      <x:c r="AH44" s="35" t="str">
        <x:v>单条详情页本轮受限流/反爬影响，未获得独立页面实证</x:v>
      </x:c>
      <x:c r="AI44" s="38" t="str">
        <x:f>IF(OR(K44&lt;&gt;L44,M44&lt;&gt;TRUE,Y44&lt;&gt;TRUE,Z44&lt;&gt;TRUE),"冲突",IF(OR(D44="？",D44="？？？"),"分类冲突待确认",IF(N44&gt;1,"图标一致；具体ID不唯一","图标/名称/来源无已发现冲突")))</x:f>
        <x:v>图标/名称/来源无已发现冲突</x:v>
      </x:c>
    </x:row>
    <x:row r="45" ht="38" customHeight="1">
      <x:c r="A45" s="35" t="n">
        <x:v>44</x:v>
      </x:c>
      <x:c r="B45" s="35" t="str">
        <x:v>currency_wars_equipment_046</x:v>
      </x:c>
      <x:c r="C45" s="35" t="str">
        <x:v>轮滑鞋</x:v>
      </x:c>
      <x:c r="D45" s="35" t="str">
        <x:v>简易装备</x:v>
      </x:c>
      <x:c r="E45" s="35" t="str">
        <x:v>basic</x:v>
      </x:c>
      <x:c r="F45" s="35" t="str">
        <x:v>是</x:v>
      </x:c>
      <x:c r="G45" s="35" t="str">
        <x:v>是</x:v>
      </x:c>
      <x:c r="H45" s="35" t="str"/>
      <x:c r="I45" s="35" t="str"/>
      <x:c r="J45" s="35" t="str">
        <x:v>assets/currency_wars_equipment_icons/currency_wars_equipment_046.png</x:v>
      </x:c>
      <x:c r="K45" s="35" t="str">
        <x:v>35e375357edaf3cdbe3fd7d57989bf4302350ff428ce1d2160a2c555a94d67b1</x:v>
      </x:c>
      <x:c r="L45" s="35" t="str">
        <x:v>35e375357edaf3cdbe3fd7d57989bf4302350ff428ce1d2160a2c555a94d67b1</x:v>
      </x:c>
      <x:c r="M45" s="36" t="b">
        <x:v>1</x:v>
      </x:c>
      <x:c r="N45" s="35" t="n">
        <x:f>COUNTIF($L$2:$L$158,L45)</x:f>
        <x:v>1</x:v>
      </x:c>
      <x:c r="O45" s="35" t="str">
        <x:v>046</x:v>
      </x:c>
      <x:c r="P45" s="35" t="str">
        <x:v>轮滑鞋</x:v>
      </x:c>
      <x:c r="Q45" s="35" t="n">
        <x:v>18603</x:v>
      </x:c>
      <x:c r="R45" s="35" t="n">
        <x:v>115</x:v>
      </x:c>
      <x:c r="S45" s="35" t="n">
        <x:v>120</x:v>
      </x:c>
      <x:c r="T45" s="35" t="str">
        <x:v>https://patchwiki.biligame.com/images/sr/f/f1/qu4txn7itc6ho8i79dv2ulrqnzhj0bh.png</x:v>
      </x:c>
      <x:c r="U45" s="35" t="str">
        <x:v>https://wiki.biligame.com/sr/%E8%BD%AE%E6%BB%91%E9%9E%8B</x:v>
      </x:c>
      <x:c r="V45" s="35" t="n">
        <x:v>99085</x:v>
      </x:c>
      <x:c r="W45" s="35" t="n">
        <x:v>200</x:v>
      </x:c>
      <x:c r="X45" s="35" t="str">
        <x:v>35e375357edaf3cdbe3fd7d57989bf4302350ff428ce1d2160a2c555a94d67b1</x:v>
      </x:c>
      <x:c r="Y45" s="36" t="b">
        <x:v>1</x:v>
      </x:c>
      <x:c r="Z45" s="36" t="b">
        <x:v>1</x:v>
      </x:c>
      <x:c r="AA45" s="35" t="str">
        <x:v>HTTP 567（限流/反爬）</x:v>
      </x:c>
      <x:c r="AB45" s="35" t="str"/>
      <x:c r="AC45" s="35" t="str">
        <x:v>equipment-contact-03.png</x:v>
      </x:c>
      <x:c r="AD45" s="35" t="str">
        <x:v>第1行第4列</x:v>
      </x:c>
      <x:c r="AE45" s="35" t="str">
        <x:v>逐项可见；未见空白、破损、异常裁切或相邻错位</x:v>
      </x:c>
      <x:c r="AF45" s="35" t="str">
        <x:v>本地哈希唯一；未发现图标与名称错位</x:v>
      </x:c>
      <x:c r="AG45" s="35" t="str">
        <x:v>BWIKI oldid=99085+PatchWiki；米游社官方资料仅提供玩法或少量条目补充</x:v>
      </x:c>
      <x:c r="AH45" s="35" t="str">
        <x:v>单条详情页本轮受限流/反爬影响，未获得独立页面实证</x:v>
      </x:c>
      <x:c r="AI45" s="38" t="str">
        <x:f>IF(OR(K45&lt;&gt;L45,M45&lt;&gt;TRUE,Y45&lt;&gt;TRUE,Z45&lt;&gt;TRUE),"冲突",IF(OR(D45="？",D45="？？？"),"分类冲突待确认",IF(N45&gt;1,"图标一致；具体ID不唯一","图标/名称/来源无已发现冲突")))</x:f>
        <x:v>图标/名称/来源无已发现冲突</x:v>
      </x:c>
    </x:row>
    <x:row r="46" ht="38" customHeight="1">
      <x:c r="A46" s="35" t="n">
        <x:v>45</x:v>
      </x:c>
      <x:c r="B46" s="35" t="str">
        <x:v>currency_wars_equipment_047</x:v>
      </x:c>
      <x:c r="C46" s="35" t="str">
        <x:v>量产型装甲</x:v>
      </x:c>
      <x:c r="D46" s="35" t="str">
        <x:v>简易装备</x:v>
      </x:c>
      <x:c r="E46" s="35" t="str">
        <x:v>basic</x:v>
      </x:c>
      <x:c r="F46" s="35" t="str">
        <x:v>是</x:v>
      </x:c>
      <x:c r="G46" s="35" t="str">
        <x:v>是</x:v>
      </x:c>
      <x:c r="H46" s="35" t="str"/>
      <x:c r="I46" s="35" t="str"/>
      <x:c r="J46" s="35" t="str">
        <x:v>assets/currency_wars_equipment_icons/currency_wars_equipment_047.png</x:v>
      </x:c>
      <x:c r="K46" s="35" t="str">
        <x:v>c261f505b9f0b395cf89838f153c4f073decdb3ec3076a78f9fb12def099d56f</x:v>
      </x:c>
      <x:c r="L46" s="35" t="str">
        <x:v>c261f505b9f0b395cf89838f153c4f073decdb3ec3076a78f9fb12def099d56f</x:v>
      </x:c>
      <x:c r="M46" s="36" t="b">
        <x:v>1</x:v>
      </x:c>
      <x:c r="N46" s="35" t="n">
        <x:f>COUNTIF($L$2:$L$158,L46)</x:f>
        <x:v>1</x:v>
      </x:c>
      <x:c r="O46" s="35" t="str">
        <x:v>047</x:v>
      </x:c>
      <x:c r="P46" s="35" t="str">
        <x:v>量产型装甲</x:v>
      </x:c>
      <x:c r="Q46" s="35" t="n">
        <x:v>14406</x:v>
      </x:c>
      <x:c r="R46" s="35" t="n">
        <x:v>103</x:v>
      </x:c>
      <x:c r="S46" s="35" t="n">
        <x:v>114</x:v>
      </x:c>
      <x:c r="T46" s="35" t="str">
        <x:v>https://patchwiki.biligame.com/images/sr/c/c9/ahyladeaygqsp08r7ym0u4n14ued1r7.png</x:v>
      </x:c>
      <x:c r="U46" s="35" t="str">
        <x:v>https://wiki.biligame.com/sr/%E9%87%8F%E4%BA%A7%E5%9E%8B%E8%A3%85%E7%94%B2</x:v>
      </x:c>
      <x:c r="V46" s="35" t="n">
        <x:v>99085</x:v>
      </x:c>
      <x:c r="W46" s="35" t="n">
        <x:v>200</x:v>
      </x:c>
      <x:c r="X46" s="35" t="str">
        <x:v>c261f505b9f0b395cf89838f153c4f073decdb3ec3076a78f9fb12def099d56f</x:v>
      </x:c>
      <x:c r="Y46" s="36" t="b">
        <x:v>1</x:v>
      </x:c>
      <x:c r="Z46" s="36" t="b">
        <x:v>1</x:v>
      </x:c>
      <x:c r="AA46" s="35" t="str">
        <x:v>HTTP 567（限流/反爬）</x:v>
      </x:c>
      <x:c r="AB46" s="35" t="str"/>
      <x:c r="AC46" s="35" t="str">
        <x:v>equipment-contact-03.png</x:v>
      </x:c>
      <x:c r="AD46" s="35" t="str">
        <x:v>第1行第5列</x:v>
      </x:c>
      <x:c r="AE46" s="35" t="str">
        <x:v>逐项可见；未见空白、破损、异常裁切或相邻错位</x:v>
      </x:c>
      <x:c r="AF46" s="35" t="str">
        <x:v>本地哈希唯一；未发现图标与名称错位</x:v>
      </x:c>
      <x:c r="AG46" s="35" t="str">
        <x:v>BWIKI oldid=99085+PatchWiki；米游社官方资料仅提供玩法或少量条目补充</x:v>
      </x:c>
      <x:c r="AH46" s="35" t="str">
        <x:v>单条详情页本轮受限流/反爬影响，未获得独立页面实证</x:v>
      </x:c>
      <x:c r="AI46" s="38" t="str">
        <x:f>IF(OR(K46&lt;&gt;L46,M46&lt;&gt;TRUE,Y46&lt;&gt;TRUE,Z46&lt;&gt;TRUE),"冲突",IF(OR(D46="？",D46="？？？"),"分类冲突待确认",IF(N46&gt;1,"图标一致；具体ID不唯一","图标/名称/来源无已发现冲突")))</x:f>
        <x:v>图标/名称/来源无已发现冲突</x:v>
      </x:c>
    </x:row>
    <x:row r="47" ht="38" customHeight="1">
      <x:c r="A47" s="35" t="n">
        <x:v>46</x:v>
      </x:c>
      <x:c r="B47" s="35" t="str">
        <x:v>currency_wars_equipment_048</x:v>
      </x:c>
      <x:c r="C47" s="35" t="str">
        <x:v>以牙还牙甲</x:v>
      </x:c>
      <x:c r="D47" s="35" t="str">
        <x:v>进阶装备</x:v>
      </x:c>
      <x:c r="E47" s="35" t="str">
        <x:v>advanced</x:v>
      </x:c>
      <x:c r="F47" s="35" t="str">
        <x:v>是</x:v>
      </x:c>
      <x:c r="G47" s="35" t="str">
        <x:v>是</x:v>
      </x:c>
      <x:c r="H47" s="35" t="str"/>
      <x:c r="I47" s="35" t="str">
        <x:v>currency_wars_equipment_047；currency_wars_equipment_043</x:v>
      </x:c>
      <x:c r="J47" s="35" t="str">
        <x:v>assets/currency_wars_equipment_icons/currency_wars_equipment_048.png</x:v>
      </x:c>
      <x:c r="K47" s="35" t="str">
        <x:v>0111479a0ccb4585ccb931acbaab0e9771877936a5ce7ae10850242a446e0cb9</x:v>
      </x:c>
      <x:c r="L47" s="35" t="str">
        <x:v>0111479a0ccb4585ccb931acbaab0e9771877936a5ce7ae10850242a446e0cb9</x:v>
      </x:c>
      <x:c r="M47" s="36" t="b">
        <x:v>1</x:v>
      </x:c>
      <x:c r="N47" s="39" t="n">
        <x:f>COUNTIF($L$2:$L$158,L47)</x:f>
        <x:v>2</x:v>
      </x:c>
      <x:c r="O47" s="39" t="str">
        <x:v>048；087</x:v>
      </x:c>
      <x:c r="P47" s="39" t="str">
        <x:v>以牙还牙甲；以牙还牙甲•特权</x:v>
      </x:c>
      <x:c r="Q47" s="35" t="n">
        <x:v>35177</x:v>
      </x:c>
      <x:c r="R47" s="35" t="n">
        <x:v>128</x:v>
      </x:c>
      <x:c r="S47" s="35" t="n">
        <x:v>128</x:v>
      </x:c>
      <x:c r="T47" s="35" t="str">
        <x:v>https://patchwiki.biligame.com/images/sr/d/db/eo02d2gr85j4lqukmjstaz91b6ip3wu.png</x:v>
      </x:c>
      <x:c r="U47" s="35" t="str">
        <x:v>https://wiki.biligame.com/sr/%E4%BB%A5%E7%89%99%E8%BF%98%E7%89%99%E7%94%B2</x:v>
      </x:c>
      <x:c r="V47" s="35" t="n">
        <x:v>99085</x:v>
      </x:c>
      <x:c r="W47" s="35" t="n">
        <x:v>200</x:v>
      </x:c>
      <x:c r="X47" s="35" t="str">
        <x:v>0111479a0ccb4585ccb931acbaab0e9771877936a5ce7ae10850242a446e0cb9</x:v>
      </x:c>
      <x:c r="Y47" s="36" t="b">
        <x:v>1</x:v>
      </x:c>
      <x:c r="Z47" s="36" t="b">
        <x:v>1</x:v>
      </x:c>
      <x:c r="AA47" s="35" t="str">
        <x:v>HTTP 567（限流/反爬）</x:v>
      </x:c>
      <x:c r="AB47" s="35" t="str"/>
      <x:c r="AC47" s="35" t="str">
        <x:v>equipment-contact-03.png</x:v>
      </x:c>
      <x:c r="AD47" s="35" t="str">
        <x:v>第2行第1列</x:v>
      </x:c>
      <x:c r="AE47" s="35" t="str">
        <x:v>逐项可见；未见空白、破损、异常裁切或相邻错位</x:v>
      </x:c>
      <x:c r="AF47" s="35" t="str">
        <x:v>同图多ID；识别时必须保留CandidateIds/Unknown，不得强收敛</x:v>
      </x:c>
      <x:c r="AG47" s="35" t="str">
        <x:v>BWIKI oldid=99085+PatchWiki；米游社官方资料仅提供玩法或少量条目补充</x:v>
      </x:c>
      <x:c r="AH47" s="35" t="str">
        <x:v>仅凭图标无法区分本簇具体ID</x:v>
      </x:c>
      <x:c r="AI47" s="40" t="str">
        <x:f>IF(OR(K47&lt;&gt;L47,M47&lt;&gt;TRUE,Y47&lt;&gt;TRUE,Z47&lt;&gt;TRUE),"冲突",IF(OR(D47="？",D47="？？？"),"分类冲突待确认",IF(N47&gt;1,"图标一致；具体ID不唯一","图标/名称/来源无已发现冲突")))</x:f>
        <x:v>图标一致；具体ID不唯一</x:v>
      </x:c>
    </x:row>
    <x:row r="48" ht="38" customHeight="1">
      <x:c r="A48" s="35" t="n">
        <x:v>47</x:v>
      </x:c>
      <x:c r="B48" s="35" t="str">
        <x:v>currency_wars_equipment_049</x:v>
      </x:c>
      <x:c r="C48" s="35" t="str">
        <x:v>信心注入器</x:v>
      </x:c>
      <x:c r="D48" s="35" t="str">
        <x:v>进阶装备</x:v>
      </x:c>
      <x:c r="E48" s="35" t="str">
        <x:v>advanced</x:v>
      </x:c>
      <x:c r="F48" s="35" t="str">
        <x:v>是</x:v>
      </x:c>
      <x:c r="G48" s="35" t="str">
        <x:v>是</x:v>
      </x:c>
      <x:c r="H48" s="35" t="str"/>
      <x:c r="I48" s="35" t="str">
        <x:v>currency_wars_equipment_047；currency_wars_equipment_044</x:v>
      </x:c>
      <x:c r="J48" s="35" t="str">
        <x:v>assets/currency_wars_equipment_icons/currency_wars_equipment_049.png</x:v>
      </x:c>
      <x:c r="K48" s="35" t="str">
        <x:v>56bea7098d3578a24612068268e277f53e143b1aa23ac0d32df8afadca76c09e</x:v>
      </x:c>
      <x:c r="L48" s="35" t="str">
        <x:v>56bea7098d3578a24612068268e277f53e143b1aa23ac0d32df8afadca76c09e</x:v>
      </x:c>
      <x:c r="M48" s="36" t="b">
        <x:v>1</x:v>
      </x:c>
      <x:c r="N48" s="39" t="n">
        <x:f>COUNTIF($L$2:$L$158,L48)</x:f>
        <x:v>2</x:v>
      </x:c>
      <x:c r="O48" s="39" t="str">
        <x:v>049；088</x:v>
      </x:c>
      <x:c r="P48" s="39" t="str">
        <x:v>信心注入器；信心注入器•特权</x:v>
      </x:c>
      <x:c r="Q48" s="35" t="n">
        <x:v>31189</x:v>
      </x:c>
      <x:c r="R48" s="35" t="n">
        <x:v>128</x:v>
      </x:c>
      <x:c r="S48" s="35" t="n">
        <x:v>128</x:v>
      </x:c>
      <x:c r="T48" s="35" t="str">
        <x:v>https://patchwiki.biligame.com/images/sr/a/a0/4hqov03g1ee61d5brm35ncbu1ln8tje.png</x:v>
      </x:c>
      <x:c r="U48" s="35" t="str">
        <x:v>https://wiki.biligame.com/sr/%E4%BF%A1%E5%BF%83%E6%B3%A8%E5%85%A5%E5%99%A8</x:v>
      </x:c>
      <x:c r="V48" s="35" t="n">
        <x:v>99085</x:v>
      </x:c>
      <x:c r="W48" s="35" t="n">
        <x:v>200</x:v>
      </x:c>
      <x:c r="X48" s="35" t="str">
        <x:v>56bea7098d3578a24612068268e277f53e143b1aa23ac0d32df8afadca76c09e</x:v>
      </x:c>
      <x:c r="Y48" s="36" t="b">
        <x:v>1</x:v>
      </x:c>
      <x:c r="Z48" s="36" t="b">
        <x:v>1</x:v>
      </x:c>
      <x:c r="AA48" s="35" t="str">
        <x:v>HTTP 567（限流/反爬）</x:v>
      </x:c>
      <x:c r="AB48" s="35" t="str"/>
      <x:c r="AC48" s="35" t="str">
        <x:v>equipment-contact-03.png</x:v>
      </x:c>
      <x:c r="AD48" s="35" t="str">
        <x:v>第2行第2列</x:v>
      </x:c>
      <x:c r="AE48" s="35" t="str">
        <x:v>逐项可见；未见空白、破损、异常裁切或相邻错位</x:v>
      </x:c>
      <x:c r="AF48" s="35" t="str">
        <x:v>同图多ID；识别时必须保留CandidateIds/Unknown，不得强收敛</x:v>
      </x:c>
      <x:c r="AG48" s="35" t="str">
        <x:v>BWIKI oldid=99085+PatchWiki；米游社官方资料仅提供玩法或少量条目补充</x:v>
      </x:c>
      <x:c r="AH48" s="35" t="str">
        <x:v>仅凭图标无法区分本簇具体ID</x:v>
      </x:c>
      <x:c r="AI48" s="40" t="str">
        <x:f>IF(OR(K48&lt;&gt;L48,M48&lt;&gt;TRUE,Y48&lt;&gt;TRUE,Z48&lt;&gt;TRUE),"冲突",IF(OR(D48="？",D48="？？？"),"分类冲突待确认",IF(N48&gt;1,"图标一致；具体ID不唯一","图标/名称/来源无已发现冲突")))</x:f>
        <x:v>图标一致；具体ID不唯一</x:v>
      </x:c>
    </x:row>
    <x:row r="49" ht="38" customHeight="1">
      <x:c r="A49" s="35" t="n">
        <x:v>48</x:v>
      </x:c>
      <x:c r="B49" s="35" t="str">
        <x:v>currency_wars_equipment_050</x:v>
      </x:c>
      <x:c r="C49" s="35" t="str">
        <x:v>光能盾牌</x:v>
      </x:c>
      <x:c r="D49" s="35" t="str">
        <x:v>进阶装备</x:v>
      </x:c>
      <x:c r="E49" s="35" t="str">
        <x:v>advanced</x:v>
      </x:c>
      <x:c r="F49" s="35" t="str">
        <x:v>是</x:v>
      </x:c>
      <x:c r="G49" s="35" t="str">
        <x:v>是</x:v>
      </x:c>
      <x:c r="H49" s="35" t="str"/>
      <x:c r="I49" s="35" t="str">
        <x:v>currency_wars_equipment_041；currency_wars_equipment_047</x:v>
      </x:c>
      <x:c r="J49" s="35" t="str">
        <x:v>assets/currency_wars_equipment_icons/currency_wars_equipment_050.png</x:v>
      </x:c>
      <x:c r="K49" s="35" t="str">
        <x:v>4c7f19fa94a7b2845a067e086a52874e66cd3f35ffb3533a14b142dd475fb782</x:v>
      </x:c>
      <x:c r="L49" s="35" t="str">
        <x:v>4c7f19fa94a7b2845a067e086a52874e66cd3f35ffb3533a14b142dd475fb782</x:v>
      </x:c>
      <x:c r="M49" s="36" t="b">
        <x:v>1</x:v>
      </x:c>
      <x:c r="N49" s="39" t="n">
        <x:f>COUNTIF($L$2:$L$158,L49)</x:f>
        <x:v>2</x:v>
      </x:c>
      <x:c r="O49" s="39" t="str">
        <x:v>050；089</x:v>
      </x:c>
      <x:c r="P49" s="39" t="str">
        <x:v>光能盾牌；光能盾牌•特权</x:v>
      </x:c>
      <x:c r="Q49" s="35" t="n">
        <x:v>23578</x:v>
      </x:c>
      <x:c r="R49" s="35" t="n">
        <x:v>128</x:v>
      </x:c>
      <x:c r="S49" s="35" t="n">
        <x:v>128</x:v>
      </x:c>
      <x:c r="T49" s="35" t="str">
        <x:v>https://patchwiki.biligame.com/images/sr/9/96/mehybcs3df2tt1o2lv56ktaea1caa3q.png</x:v>
      </x:c>
      <x:c r="U49" s="35" t="str">
        <x:v>https://wiki.biligame.com/sr/%E5%85%89%E8%83%BD%E7%9B%BE%E7%89%8C</x:v>
      </x:c>
      <x:c r="V49" s="35" t="n">
        <x:v>99085</x:v>
      </x:c>
      <x:c r="W49" s="35" t="n">
        <x:v>200</x:v>
      </x:c>
      <x:c r="X49" s="35" t="str">
        <x:v>4c7f19fa94a7b2845a067e086a52874e66cd3f35ffb3533a14b142dd475fb782</x:v>
      </x:c>
      <x:c r="Y49" s="36" t="b">
        <x:v>1</x:v>
      </x:c>
      <x:c r="Z49" s="36" t="b">
        <x:v>1</x:v>
      </x:c>
      <x:c r="AA49" s="35" t="str">
        <x:v>HTTP 567（限流/反爬）</x:v>
      </x:c>
      <x:c r="AB49" s="35" t="str"/>
      <x:c r="AC49" s="35" t="str">
        <x:v>equipment-contact-03.png</x:v>
      </x:c>
      <x:c r="AD49" s="35" t="str">
        <x:v>第2行第3列</x:v>
      </x:c>
      <x:c r="AE49" s="35" t="str">
        <x:v>逐项可见；未见空白、破损、异常裁切或相邻错位</x:v>
      </x:c>
      <x:c r="AF49" s="35" t="str">
        <x:v>同图多ID；识别时必须保留CandidateIds/Unknown，不得强收敛</x:v>
      </x:c>
      <x:c r="AG49" s="35" t="str">
        <x:v>BWIKI oldid=99085+PatchWiki；米游社官方资料仅提供玩法或少量条目补充</x:v>
      </x:c>
      <x:c r="AH49" s="35" t="str">
        <x:v>仅凭图标无法区分本簇具体ID</x:v>
      </x:c>
      <x:c r="AI49" s="40" t="str">
        <x:f>IF(OR(K49&lt;&gt;L49,M49&lt;&gt;TRUE,Y49&lt;&gt;TRUE,Z49&lt;&gt;TRUE),"冲突",IF(OR(D49="？",D49="？？？"),"分类冲突待确认",IF(N49&gt;1,"图标一致；具体ID不唯一","图标/名称/来源无已发现冲突")))</x:f>
        <x:v>图标一致；具体ID不唯一</x:v>
      </x:c>
    </x:row>
    <x:row r="50" ht="38" customHeight="1">
      <x:c r="A50" s="35" t="n">
        <x:v>49</x:v>
      </x:c>
      <x:c r="B50" s="35" t="str">
        <x:v>currency_wars_equipment_051</x:v>
      </x:c>
      <x:c r="C50" s="35" t="str">
        <x:v>光速螺旋桨</x:v>
      </x:c>
      <x:c r="D50" s="35" t="str">
        <x:v>进阶装备</x:v>
      </x:c>
      <x:c r="E50" s="35" t="str">
        <x:v>advanced</x:v>
      </x:c>
      <x:c r="F50" s="35" t="str">
        <x:v>是</x:v>
      </x:c>
      <x:c r="G50" s="35" t="str">
        <x:v>是</x:v>
      </x:c>
      <x:c r="H50" s="35" t="str"/>
      <x:c r="I50" s="35" t="str">
        <x:v>currency_wars_equipment_040；currency_wars_equipment_046</x:v>
      </x:c>
      <x:c r="J50" s="35" t="str">
        <x:v>assets/currency_wars_equipment_icons/currency_wars_equipment_051.png</x:v>
      </x:c>
      <x:c r="K50" s="35" t="str">
        <x:v>e6a8adcd7331b1036186a76b3190cd5746b58d89e84e5a6aa07a25860b760eb2</x:v>
      </x:c>
      <x:c r="L50" s="35" t="str">
        <x:v>e6a8adcd7331b1036186a76b3190cd5746b58d89e84e5a6aa07a25860b760eb2</x:v>
      </x:c>
      <x:c r="M50" s="36" t="b">
        <x:v>1</x:v>
      </x:c>
      <x:c r="N50" s="39" t="n">
        <x:f>COUNTIF($L$2:$L$158,L50)</x:f>
        <x:v>4</x:v>
      </x:c>
      <x:c r="O50" s="39" t="str">
        <x:v>051；090；143；146</x:v>
      </x:c>
      <x:c r="P50" s="39" t="str">
        <x:v>光速螺旋桨；光速螺旋桨•特权；极•白昼•光速螺旋桨；白昼•光速螺旋桨</x:v>
      </x:c>
      <x:c r="Q50" s="35" t="n">
        <x:v>31526</x:v>
      </x:c>
      <x:c r="R50" s="35" t="n">
        <x:v>128</x:v>
      </x:c>
      <x:c r="S50" s="35" t="n">
        <x:v>128</x:v>
      </x:c>
      <x:c r="T50" s="35" t="str">
        <x:v>https://patchwiki.biligame.com/images/sr/e/ed/tuj9v192vmobh7xslh16kbia0uurl7q.png</x:v>
      </x:c>
      <x:c r="U50" s="35" t="str">
        <x:v>https://wiki.biligame.com/sr/%E5%85%89%E9%80%9F%E8%9E%BA%E6%97%8B%E6%A1%A8</x:v>
      </x:c>
      <x:c r="V50" s="35" t="n">
        <x:v>99085</x:v>
      </x:c>
      <x:c r="W50" s="35" t="n">
        <x:v>200</x:v>
      </x:c>
      <x:c r="X50" s="35" t="str">
        <x:v>e6a8adcd7331b1036186a76b3190cd5746b58d89e84e5a6aa07a25860b760eb2</x:v>
      </x:c>
      <x:c r="Y50" s="36" t="b">
        <x:v>1</x:v>
      </x:c>
      <x:c r="Z50" s="36" t="b">
        <x:v>1</x:v>
      </x:c>
      <x:c r="AA50" s="35" t="str">
        <x:v>HTTP 567（限流/反爬）</x:v>
      </x:c>
      <x:c r="AB50" s="35" t="str"/>
      <x:c r="AC50" s="35" t="str">
        <x:v>equipment-contact-03.png</x:v>
      </x:c>
      <x:c r="AD50" s="35" t="str">
        <x:v>第2行第4列</x:v>
      </x:c>
      <x:c r="AE50" s="35" t="str">
        <x:v>逐项可见；未见空白、破损、异常裁切或相邻错位</x:v>
      </x:c>
      <x:c r="AF50" s="35" t="str">
        <x:v>同图多ID；识别时必须保留CandidateIds/Unknown，不得强收敛</x:v>
      </x:c>
      <x:c r="AG50" s="35" t="str">
        <x:v>BWIKI oldid=99085+PatchWiki；米游社官方资料仅提供玩法或少量条目补充</x:v>
      </x:c>
      <x:c r="AH50" s="35" t="str">
        <x:v>仅凭图标无法区分本簇具体ID</x:v>
      </x:c>
      <x:c r="AI50" s="40" t="str">
        <x:f>IF(OR(K50&lt;&gt;L50,M50&lt;&gt;TRUE,Y50&lt;&gt;TRUE,Z50&lt;&gt;TRUE),"冲突",IF(OR(D50="？",D50="？？？"),"分类冲突待确认",IF(N50&gt;1,"图标一致；具体ID不唯一","图标/名称/来源无已发现冲突")))</x:f>
        <x:v>图标一致；具体ID不唯一</x:v>
      </x:c>
    </x:row>
    <x:row r="51" ht="38" customHeight="1">
      <x:c r="A51" s="35" t="n">
        <x:v>50</x:v>
      </x:c>
      <x:c r="B51" s="35" t="str">
        <x:v>currency_wars_equipment_052</x:v>
      </x:c>
      <x:c r="C51" s="35" t="str">
        <x:v>冷笑话引擎</x:v>
      </x:c>
      <x:c r="D51" s="35" t="str">
        <x:v>进阶装备</x:v>
      </x:c>
      <x:c r="E51" s="35" t="str">
        <x:v>advanced</x:v>
      </x:c>
      <x:c r="F51" s="35" t="str">
        <x:v>是</x:v>
      </x:c>
      <x:c r="G51" s="35" t="str">
        <x:v>是</x:v>
      </x:c>
      <x:c r="H51" s="35" t="str"/>
      <x:c r="I51" s="35" t="str">
        <x:v>currency_wars_equipment_041；currency_wars_equipment_043</x:v>
      </x:c>
      <x:c r="J51" s="35" t="str">
        <x:v>assets/currency_wars_equipment_icons/currency_wars_equipment_052.png</x:v>
      </x:c>
      <x:c r="K51" s="35" t="str">
        <x:v>8558d839f989cfece0189ce7007c88f6deb48c685f9cfb48fa717f2e85273cc9</x:v>
      </x:c>
      <x:c r="L51" s="35" t="str">
        <x:v>8558d839f989cfece0189ce7007c88f6deb48c685f9cfb48fa717f2e85273cc9</x:v>
      </x:c>
      <x:c r="M51" s="36" t="b">
        <x:v>1</x:v>
      </x:c>
      <x:c r="N51" s="39" t="n">
        <x:f>COUNTIF($L$2:$L$158,L51)</x:f>
        <x:v>2</x:v>
      </x:c>
      <x:c r="O51" s="39" t="str">
        <x:v>052；091</x:v>
      </x:c>
      <x:c r="P51" s="39" t="str">
        <x:v>冷笑话引擎；冷笑话引擎•特权</x:v>
      </x:c>
      <x:c r="Q51" s="35" t="n">
        <x:v>32541</x:v>
      </x:c>
      <x:c r="R51" s="35" t="n">
        <x:v>128</x:v>
      </x:c>
      <x:c r="S51" s="35" t="n">
        <x:v>128</x:v>
      </x:c>
      <x:c r="T51" s="35" t="str">
        <x:v>https://patchwiki.biligame.com/images/sr/a/a8/7slh4vr9sj62l96ejejxu2emvixd77o.png</x:v>
      </x:c>
      <x:c r="U51" s="35" t="str">
        <x:v>https://wiki.biligame.com/sr/%E5%86%B7%E7%AC%91%E8%AF%9D%E5%BC%95%E6%93%8E</x:v>
      </x:c>
      <x:c r="V51" s="35" t="n">
        <x:v>99085</x:v>
      </x:c>
      <x:c r="W51" s="35" t="n">
        <x:v>200</x:v>
      </x:c>
      <x:c r="X51" s="35" t="str">
        <x:v>8558d839f989cfece0189ce7007c88f6deb48c685f9cfb48fa717f2e85273cc9</x:v>
      </x:c>
      <x:c r="Y51" s="36" t="b">
        <x:v>1</x:v>
      </x:c>
      <x:c r="Z51" s="36" t="b">
        <x:v>1</x:v>
      </x:c>
      <x:c r="AA51" s="35" t="str">
        <x:v>HTTP 567（限流/反爬）</x:v>
      </x:c>
      <x:c r="AB51" s="35" t="str"/>
      <x:c r="AC51" s="35" t="str">
        <x:v>equipment-contact-03.png</x:v>
      </x:c>
      <x:c r="AD51" s="35" t="str">
        <x:v>第2行第5列</x:v>
      </x:c>
      <x:c r="AE51" s="35" t="str">
        <x:v>逐项可见；未见空白、破损、异常裁切或相邻错位</x:v>
      </x:c>
      <x:c r="AF51" s="35" t="str">
        <x:v>同图多ID；识别时必须保留CandidateIds/Unknown，不得强收敛</x:v>
      </x:c>
      <x:c r="AG51" s="35" t="str">
        <x:v>BWIKI oldid=99085+PatchWiki；米游社官方资料仅提供玩法或少量条目补充</x:v>
      </x:c>
      <x:c r="AH51" s="35" t="str">
        <x:v>仅凭图标无法区分本簇具体ID</x:v>
      </x:c>
      <x:c r="AI51" s="40" t="str">
        <x:f>IF(OR(K51&lt;&gt;L51,M51&lt;&gt;TRUE,Y51&lt;&gt;TRUE,Z51&lt;&gt;TRUE),"冲突",IF(OR(D51="？",D51="？？？"),"分类冲突待确认",IF(N51&gt;1,"图标一致；具体ID不唯一","图标/名称/来源无已发现冲突")))</x:f>
        <x:v>图标一致；具体ID不唯一</x:v>
      </x:c>
    </x:row>
    <x:row r="52" ht="38" customHeight="1">
      <x:c r="A52" s="35" t="n">
        <x:v>51</x:v>
      </x:c>
      <x:c r="B52" s="35" t="str">
        <x:v>currency_wars_equipment_053</x:v>
      </x:c>
      <x:c r="C52" s="35" t="str">
        <x:v>动能激发剑</x:v>
      </x:c>
      <x:c r="D52" s="35" t="str">
        <x:v>进阶装备</x:v>
      </x:c>
      <x:c r="E52" s="35" t="str">
        <x:v>advanced</x:v>
      </x:c>
      <x:c r="F52" s="35" t="str">
        <x:v>是</x:v>
      </x:c>
      <x:c r="G52" s="35" t="str">
        <x:v>是</x:v>
      </x:c>
      <x:c r="H52" s="35" t="str"/>
      <x:c r="I52" s="35" t="str">
        <x:v>currency_wars_equipment_040；currency_wars_equipment_044</x:v>
      </x:c>
      <x:c r="J52" s="35" t="str">
        <x:v>assets/currency_wars_equipment_icons/currency_wars_equipment_053.png</x:v>
      </x:c>
      <x:c r="K52" s="35" t="str">
        <x:v>359b80002377cf9ecec3020db298d7dd3210dd5a6041da94304099da2f042d58</x:v>
      </x:c>
      <x:c r="L52" s="35" t="str">
        <x:v>359b80002377cf9ecec3020db298d7dd3210dd5a6041da94304099da2f042d58</x:v>
      </x:c>
      <x:c r="M52" s="36" t="b">
        <x:v>1</x:v>
      </x:c>
      <x:c r="N52" s="39" t="n">
        <x:f>COUNTIF($L$2:$L$158,L52)</x:f>
        <x:v>2</x:v>
      </x:c>
      <x:c r="O52" s="39" t="str">
        <x:v>053；092</x:v>
      </x:c>
      <x:c r="P52" s="39" t="str">
        <x:v>动能激发剑；动能激发剑•特权</x:v>
      </x:c>
      <x:c r="Q52" s="35" t="n">
        <x:v>29689</x:v>
      </x:c>
      <x:c r="R52" s="35" t="n">
        <x:v>128</x:v>
      </x:c>
      <x:c r="S52" s="35" t="n">
        <x:v>128</x:v>
      </x:c>
      <x:c r="T52" s="35" t="str">
        <x:v>https://patchwiki.biligame.com/images/sr/4/4e/pfnwa5i7hlxk6ziktp34zphh6s7h757.png</x:v>
      </x:c>
      <x:c r="U52" s="35" t="str">
        <x:v>https://wiki.biligame.com/sr/%E5%8A%A8%E8%83%BD%E6%BF%80%E5%8F%91%E5%89%91</x:v>
      </x:c>
      <x:c r="V52" s="35" t="n">
        <x:v>99085</x:v>
      </x:c>
      <x:c r="W52" s="35" t="n">
        <x:v>200</x:v>
      </x:c>
      <x:c r="X52" s="35" t="str">
        <x:v>359b80002377cf9ecec3020db298d7dd3210dd5a6041da94304099da2f042d58</x:v>
      </x:c>
      <x:c r="Y52" s="36" t="b">
        <x:v>1</x:v>
      </x:c>
      <x:c r="Z52" s="36" t="b">
        <x:v>1</x:v>
      </x:c>
      <x:c r="AA52" s="35" t="str">
        <x:v>HTTP 567（限流/反爬）</x:v>
      </x:c>
      <x:c r="AB52" s="35" t="str"/>
      <x:c r="AC52" s="35" t="str">
        <x:v>equipment-contact-03.png</x:v>
      </x:c>
      <x:c r="AD52" s="35" t="str">
        <x:v>第3行第1列</x:v>
      </x:c>
      <x:c r="AE52" s="35" t="str">
        <x:v>逐项可见；未见空白、破损、异常裁切或相邻错位</x:v>
      </x:c>
      <x:c r="AF52" s="35" t="str">
        <x:v>同图多ID；识别时必须保留CandidateIds/Unknown，不得强收敛</x:v>
      </x:c>
      <x:c r="AG52" s="35" t="str">
        <x:v>BWIKI oldid=99085+PatchWiki；米游社官方资料仅提供玩法或少量条目补充</x:v>
      </x:c>
      <x:c r="AH52" s="35" t="str">
        <x:v>仅凭图标无法区分本簇具体ID</x:v>
      </x:c>
      <x:c r="AI52" s="40" t="str">
        <x:f>IF(OR(K52&lt;&gt;L52,M52&lt;&gt;TRUE,Y52&lt;&gt;TRUE,Z52&lt;&gt;TRUE),"冲突",IF(OR(D52="？",D52="？？？"),"分类冲突待确认",IF(N52&gt;1,"图标一致；具体ID不唯一","图标/名称/来源无已发现冲突")))</x:f>
        <x:v>图标一致；具体ID不唯一</x:v>
      </x:c>
    </x:row>
    <x:row r="53" ht="38" customHeight="1">
      <x:c r="A53" s="35" t="n">
        <x:v>52</x:v>
      </x:c>
      <x:c r="B53" s="35" t="str">
        <x:v>currency_wars_equipment_054</x:v>
      </x:c>
      <x:c r="C53" s="35" t="str">
        <x:v>反卫星狙击枪</x:v>
      </x:c>
      <x:c r="D53" s="35" t="str">
        <x:v>进阶装备</x:v>
      </x:c>
      <x:c r="E53" s="35" t="str">
        <x:v>advanced</x:v>
      </x:c>
      <x:c r="F53" s="35" t="str">
        <x:v>是</x:v>
      </x:c>
      <x:c r="G53" s="35" t="str">
        <x:v>是</x:v>
      </x:c>
      <x:c r="H53" s="35" t="str"/>
      <x:c r="I53" s="35" t="str">
        <x:v>currency_wars_equipment_043；currency_wars_equipment_042</x:v>
      </x:c>
      <x:c r="J53" s="35" t="str">
        <x:v>assets/currency_wars_equipment_icons/currency_wars_equipment_054.png</x:v>
      </x:c>
      <x:c r="K53" s="35" t="str">
        <x:v>d56460779d29bc6f8e2169276f523f28c6e341ce95aa0905c903bd5e8cf415f5</x:v>
      </x:c>
      <x:c r="L53" s="35" t="str">
        <x:v>d56460779d29bc6f8e2169276f523f28c6e341ce95aa0905c903bd5e8cf415f5</x:v>
      </x:c>
      <x:c r="M53" s="36" t="b">
        <x:v>1</x:v>
      </x:c>
      <x:c r="N53" s="39" t="n">
        <x:f>COUNTIF($L$2:$L$158,L53)</x:f>
        <x:v>2</x:v>
      </x:c>
      <x:c r="O53" s="39" t="str">
        <x:v>054；093</x:v>
      </x:c>
      <x:c r="P53" s="39" t="str">
        <x:v>反卫星狙击枪；反卫星狙击枪•特权</x:v>
      </x:c>
      <x:c r="Q53" s="35" t="n">
        <x:v>32182</x:v>
      </x:c>
      <x:c r="R53" s="35" t="n">
        <x:v>128</x:v>
      </x:c>
      <x:c r="S53" s="35" t="n">
        <x:v>128</x:v>
      </x:c>
      <x:c r="T53" s="35" t="str">
        <x:v>https://patchwiki.biligame.com/images/sr/7/7f/ih4obknjsrxnsotbtbgko1mtl6jtg6v.png</x:v>
      </x:c>
      <x:c r="U53" s="35" t="str">
        <x:v>https://wiki.biligame.com/sr/%E5%8F%8D%E5%8D%AB%E6%98%9F%E7%8B%99%E5%87%BB%E6%9E%AA</x:v>
      </x:c>
      <x:c r="V53" s="35" t="n">
        <x:v>99085</x:v>
      </x:c>
      <x:c r="W53" s="35" t="n">
        <x:v>200</x:v>
      </x:c>
      <x:c r="X53" s="35" t="str">
        <x:v>d56460779d29bc6f8e2169276f523f28c6e341ce95aa0905c903bd5e8cf415f5</x:v>
      </x:c>
      <x:c r="Y53" s="36" t="b">
        <x:v>1</x:v>
      </x:c>
      <x:c r="Z53" s="36" t="b">
        <x:v>1</x:v>
      </x:c>
      <x:c r="AA53" s="35" t="str">
        <x:v>HTTP 567（限流/反爬）</x:v>
      </x:c>
      <x:c r="AB53" s="35" t="str"/>
      <x:c r="AC53" s="35" t="str">
        <x:v>equipment-contact-03.png</x:v>
      </x:c>
      <x:c r="AD53" s="35" t="str">
        <x:v>第3行第2列</x:v>
      </x:c>
      <x:c r="AE53" s="35" t="str">
        <x:v>逐项可见；未见空白、破损、异常裁切或相邻错位</x:v>
      </x:c>
      <x:c r="AF53" s="35" t="str">
        <x:v>同图多ID；识别时必须保留CandidateIds/Unknown，不得强收敛</x:v>
      </x:c>
      <x:c r="AG53" s="35" t="str">
        <x:v>BWIKI oldid=99085+PatchWiki；米游社官方资料仅提供玩法或少量条目补充</x:v>
      </x:c>
      <x:c r="AH53" s="35" t="str">
        <x:v>仅凭图标无法区分本簇具体ID</x:v>
      </x:c>
      <x:c r="AI53" s="40" t="str">
        <x:f>IF(OR(K53&lt;&gt;L53,M53&lt;&gt;TRUE,Y53&lt;&gt;TRUE,Z53&lt;&gt;TRUE),"冲突",IF(OR(D53="？",D53="？？？"),"分类冲突待确认",IF(N53&gt;1,"图标一致；具体ID不唯一","图标/名称/来源无已发现冲突")))</x:f>
        <x:v>图标一致；具体ID不唯一</x:v>
      </x:c>
    </x:row>
    <x:row r="54" ht="38" customHeight="1">
      <x:c r="A54" s="35" t="n">
        <x:v>53</x:v>
      </x:c>
      <x:c r="B54" s="35" t="str">
        <x:v>currency_wars_equipment_055</x:v>
      </x:c>
      <x:c r="C54" s="35" t="str">
        <x:v>反重力皮靴</x:v>
      </x:c>
      <x:c r="D54" s="35" t="str">
        <x:v>进阶装备</x:v>
      </x:c>
      <x:c r="E54" s="35" t="str">
        <x:v>advanced</x:v>
      </x:c>
      <x:c r="F54" s="35" t="str">
        <x:v>是</x:v>
      </x:c>
      <x:c r="G54" s="35" t="str">
        <x:v>是</x:v>
      </x:c>
      <x:c r="H54" s="35" t="str"/>
      <x:c r="I54" s="35" t="str">
        <x:v>currency_wars_equipment_046；currency_wars_equipment_046</x:v>
      </x:c>
      <x:c r="J54" s="35" t="str">
        <x:v>assets/currency_wars_equipment_icons/currency_wars_equipment_055.png</x:v>
      </x:c>
      <x:c r="K54" s="35" t="str">
        <x:v>4ed72ae50d0fe4badc8ed4aa14681ede39657bbc080e4bc89bc2d18d90f145a3</x:v>
      </x:c>
      <x:c r="L54" s="35" t="str">
        <x:v>4ed72ae50d0fe4badc8ed4aa14681ede39657bbc080e4bc89bc2d18d90f145a3</x:v>
      </x:c>
      <x:c r="M54" s="36" t="b">
        <x:v>1</x:v>
      </x:c>
      <x:c r="N54" s="39" t="n">
        <x:f>COUNTIF($L$2:$L$158,L54)</x:f>
        <x:v>2</x:v>
      </x:c>
      <x:c r="O54" s="39" t="str">
        <x:v>055；094</x:v>
      </x:c>
      <x:c r="P54" s="39" t="str">
        <x:v>反重力皮靴；反重力皮靴•特权</x:v>
      </x:c>
      <x:c r="Q54" s="35" t="n">
        <x:v>27496</x:v>
      </x:c>
      <x:c r="R54" s="35" t="n">
        <x:v>128</x:v>
      </x:c>
      <x:c r="S54" s="35" t="n">
        <x:v>128</x:v>
      </x:c>
      <x:c r="T54" s="35" t="str">
        <x:v>https://patchwiki.biligame.com/images/sr/2/27/cvbi5e5z4thqgs311yf2j5ln6m5p89m.png</x:v>
      </x:c>
      <x:c r="U54" s="35" t="str">
        <x:v>https://wiki.biligame.com/sr/%E5%8F%8D%E9%87%8D%E5%8A%9B%E7%9A%AE%E9%9D%B4</x:v>
      </x:c>
      <x:c r="V54" s="35" t="n">
        <x:v>99085</x:v>
      </x:c>
      <x:c r="W54" s="35" t="n">
        <x:v>200</x:v>
      </x:c>
      <x:c r="X54" s="35" t="str">
        <x:v>4ed72ae50d0fe4badc8ed4aa14681ede39657bbc080e4bc89bc2d18d90f145a3</x:v>
      </x:c>
      <x:c r="Y54" s="36" t="b">
        <x:v>1</x:v>
      </x:c>
      <x:c r="Z54" s="36" t="b">
        <x:v>1</x:v>
      </x:c>
      <x:c r="AA54" s="35" t="str">
        <x:v>HTTP 567（限流/反爬）</x:v>
      </x:c>
      <x:c r="AB54" s="35" t="str"/>
      <x:c r="AC54" s="35" t="str">
        <x:v>equipment-contact-03.png</x:v>
      </x:c>
      <x:c r="AD54" s="35" t="str">
        <x:v>第3行第3列</x:v>
      </x:c>
      <x:c r="AE54" s="35" t="str">
        <x:v>逐项可见；未见空白、破损、异常裁切或相邻错位</x:v>
      </x:c>
      <x:c r="AF54" s="35" t="str">
        <x:v>同图多ID；识别时必须保留CandidateIds/Unknown，不得强收敛</x:v>
      </x:c>
      <x:c r="AG54" s="35" t="str">
        <x:v>BWIKI oldid=99085+PatchWiki；米游社官方资料仅提供玩法或少量条目补充</x:v>
      </x:c>
      <x:c r="AH54" s="35" t="str">
        <x:v>仅凭图标无法区分本簇具体ID</x:v>
      </x:c>
      <x:c r="AI54" s="40" t="str">
        <x:f>IF(OR(K54&lt;&gt;L54,M54&lt;&gt;TRUE,Y54&lt;&gt;TRUE,Z54&lt;&gt;TRUE),"冲突",IF(OR(D54="？",D54="？？？"),"分类冲突待确认",IF(N54&gt;1,"图标一致；具体ID不唯一","图标/名称/来源无已发现冲突")))</x:f>
        <x:v>图标一致；具体ID不唯一</x:v>
      </x:c>
    </x:row>
    <x:row r="55" ht="38" customHeight="1">
      <x:c r="A55" s="35" t="n">
        <x:v>54</x:v>
      </x:c>
      <x:c r="B55" s="35" t="str">
        <x:v>currency_wars_equipment_056</x:v>
      </x:c>
      <x:c r="C55" s="35" t="str">
        <x:v>天基轨道炮</x:v>
      </x:c>
      <x:c r="D55" s="35" t="str">
        <x:v>进阶装备</x:v>
      </x:c>
      <x:c r="E55" s="35" t="str">
        <x:v>advanced</x:v>
      </x:c>
      <x:c r="F55" s="35" t="str">
        <x:v>是</x:v>
      </x:c>
      <x:c r="G55" s="35" t="str">
        <x:v>是</x:v>
      </x:c>
      <x:c r="H55" s="35" t="str"/>
      <x:c r="I55" s="35" t="str">
        <x:v>currency_wars_equipment_042；currency_wars_equipment_042</x:v>
      </x:c>
      <x:c r="J55" s="35" t="str">
        <x:v>assets/currency_wars_equipment_icons/currency_wars_equipment_056.png</x:v>
      </x:c>
      <x:c r="K55" s="35" t="str">
        <x:v>99b3abc3f7a8173db5accad10cbc62cf4dce5ea3fec2ed23e2d5f8f57c3ec898</x:v>
      </x:c>
      <x:c r="L55" s="35" t="str">
        <x:v>99b3abc3f7a8173db5accad10cbc62cf4dce5ea3fec2ed23e2d5f8f57c3ec898</x:v>
      </x:c>
      <x:c r="M55" s="36" t="b">
        <x:v>1</x:v>
      </x:c>
      <x:c r="N55" s="39" t="n">
        <x:f>COUNTIF($L$2:$L$158,L55)</x:f>
        <x:v>2</x:v>
      </x:c>
      <x:c r="O55" s="39" t="str">
        <x:v>056；095</x:v>
      </x:c>
      <x:c r="P55" s="39" t="str">
        <x:v>天基轨道炮；天基轨道炮•特权</x:v>
      </x:c>
      <x:c r="Q55" s="35" t="n">
        <x:v>36000</x:v>
      </x:c>
      <x:c r="R55" s="35" t="n">
        <x:v>128</x:v>
      </x:c>
      <x:c r="S55" s="35" t="n">
        <x:v>128</x:v>
      </x:c>
      <x:c r="T55" s="35" t="str">
        <x:v>https://patchwiki.biligame.com/images/sr/6/65/qv6dvngy31xn8r2eorix1rfc0uu5k4z.png</x:v>
      </x:c>
      <x:c r="U55" s="35" t="str">
        <x:v>https://wiki.biligame.com/sr/%E5%A4%A9%E5%9F%BA%E8%BD%A8%E9%81%93%E7%82%AE</x:v>
      </x:c>
      <x:c r="V55" s="35" t="n">
        <x:v>99085</x:v>
      </x:c>
      <x:c r="W55" s="35" t="n">
        <x:v>200</x:v>
      </x:c>
      <x:c r="X55" s="35" t="str">
        <x:v>99b3abc3f7a8173db5accad10cbc62cf4dce5ea3fec2ed23e2d5f8f57c3ec898</x:v>
      </x:c>
      <x:c r="Y55" s="36" t="b">
        <x:v>1</x:v>
      </x:c>
      <x:c r="Z55" s="36" t="b">
        <x:v>1</x:v>
      </x:c>
      <x:c r="AA55" s="35" t="str">
        <x:v>HTTP 567（限流/反爬）</x:v>
      </x:c>
      <x:c r="AB55" s="35" t="str"/>
      <x:c r="AC55" s="35" t="str">
        <x:v>equipment-contact-03.png</x:v>
      </x:c>
      <x:c r="AD55" s="35" t="str">
        <x:v>第3行第4列</x:v>
      </x:c>
      <x:c r="AE55" s="35" t="str">
        <x:v>逐项可见；未见空白、破损、异常裁切或相邻错位</x:v>
      </x:c>
      <x:c r="AF55" s="35" t="str">
        <x:v>同图多ID；识别时必须保留CandidateIds/Unknown，不得强收敛</x:v>
      </x:c>
      <x:c r="AG55" s="35" t="str">
        <x:v>BWIKI oldid=99085+PatchWiki；米游社官方资料仅提供玩法或少量条目补充</x:v>
      </x:c>
      <x:c r="AH55" s="35" t="str">
        <x:v>仅凭图标无法区分本簇具体ID</x:v>
      </x:c>
      <x:c r="AI55" s="40" t="str">
        <x:f>IF(OR(K55&lt;&gt;L55,M55&lt;&gt;TRUE,Y55&lt;&gt;TRUE,Z55&lt;&gt;TRUE),"冲突",IF(OR(D55="？",D55="？？？"),"分类冲突待确认",IF(N55&gt;1,"图标一致；具体ID不唯一","图标/名称/来源无已发现冲突")))</x:f>
        <x:v>图标一致；具体ID不唯一</x:v>
      </x:c>
    </x:row>
    <x:row r="56" ht="38" customHeight="1">
      <x:c r="A56" s="35" t="n">
        <x:v>55</x:v>
      </x:c>
      <x:c r="B56" s="35" t="str">
        <x:v>currency_wars_equipment_057</x:v>
      </x:c>
      <x:c r="C56" s="35" t="str">
        <x:v>很硬的甲</x:v>
      </x:c>
      <x:c r="D56" s="35" t="str">
        <x:v>进阶装备</x:v>
      </x:c>
      <x:c r="E56" s="35" t="str">
        <x:v>advanced</x:v>
      </x:c>
      <x:c r="F56" s="35" t="str">
        <x:v>是</x:v>
      </x:c>
      <x:c r="G56" s="35" t="str">
        <x:v>是</x:v>
      </x:c>
      <x:c r="H56" s="35" t="str"/>
      <x:c r="I56" s="35" t="str">
        <x:v>currency_wars_equipment_047；currency_wars_equipment_047</x:v>
      </x:c>
      <x:c r="J56" s="35" t="str">
        <x:v>assets/currency_wars_equipment_icons/currency_wars_equipment_057.png</x:v>
      </x:c>
      <x:c r="K56" s="35" t="str">
        <x:v>fe7118a0d80b31261cc4d653850bc491820b4c1be3ba1dedf59a73cdf8eb8618</x:v>
      </x:c>
      <x:c r="L56" s="35" t="str">
        <x:v>fe7118a0d80b31261cc4d653850bc491820b4c1be3ba1dedf59a73cdf8eb8618</x:v>
      </x:c>
      <x:c r="M56" s="36" t="b">
        <x:v>1</x:v>
      </x:c>
      <x:c r="N56" s="39" t="n">
        <x:f>COUNTIF($L$2:$L$158,L56)</x:f>
        <x:v>2</x:v>
      </x:c>
      <x:c r="O56" s="39" t="str">
        <x:v>057；096</x:v>
      </x:c>
      <x:c r="P56" s="39" t="str">
        <x:v>很硬的甲；很硬的甲•特权</x:v>
      </x:c>
      <x:c r="Q56" s="35" t="n">
        <x:v>29210</x:v>
      </x:c>
      <x:c r="R56" s="35" t="n">
        <x:v>128</x:v>
      </x:c>
      <x:c r="S56" s="35" t="n">
        <x:v>128</x:v>
      </x:c>
      <x:c r="T56" s="35" t="str">
        <x:v>https://patchwiki.biligame.com/images/sr/0/02/mefj3fu8vx0ri4eb0c103cor4it683j.png</x:v>
      </x:c>
      <x:c r="U56" s="35" t="str">
        <x:v>https://wiki.biligame.com/sr/%E5%BE%88%E7%A1%AC%E7%9A%84%E7%94%B2</x:v>
      </x:c>
      <x:c r="V56" s="35" t="n">
        <x:v>99085</x:v>
      </x:c>
      <x:c r="W56" s="35" t="n">
        <x:v>200</x:v>
      </x:c>
      <x:c r="X56" s="35" t="str">
        <x:v>fe7118a0d80b31261cc4d653850bc491820b4c1be3ba1dedf59a73cdf8eb8618</x:v>
      </x:c>
      <x:c r="Y56" s="36" t="b">
        <x:v>1</x:v>
      </x:c>
      <x:c r="Z56" s="36" t="b">
        <x:v>1</x:v>
      </x:c>
      <x:c r="AA56" s="35" t="str">
        <x:v>HTTP 567（限流/反爬）</x:v>
      </x:c>
      <x:c r="AB56" s="35" t="str"/>
      <x:c r="AC56" s="35" t="str">
        <x:v>equipment-contact-03.png</x:v>
      </x:c>
      <x:c r="AD56" s="35" t="str">
        <x:v>第3行第5列</x:v>
      </x:c>
      <x:c r="AE56" s="35" t="str">
        <x:v>逐项可见；未见空白、破损、异常裁切或相邻错位</x:v>
      </x:c>
      <x:c r="AF56" s="35" t="str">
        <x:v>同图多ID；识别时必须保留CandidateIds/Unknown，不得强收敛</x:v>
      </x:c>
      <x:c r="AG56" s="35" t="str">
        <x:v>BWIKI oldid=99085+PatchWiki；米游社官方资料仅提供玩法或少量条目补充</x:v>
      </x:c>
      <x:c r="AH56" s="35" t="str">
        <x:v>仅凭图标无法区分本簇具体ID</x:v>
      </x:c>
      <x:c r="AI56" s="40" t="str">
        <x:f>IF(OR(K56&lt;&gt;L56,M56&lt;&gt;TRUE,Y56&lt;&gt;TRUE,Z56&lt;&gt;TRUE),"冲突",IF(OR(D56="？",D56="？？？"),"分类冲突待确认",IF(N56&gt;1,"图标一致；具体ID不唯一","图标/名称/来源无已发现冲突")))</x:f>
        <x:v>图标一致；具体ID不唯一</x:v>
      </x:c>
    </x:row>
    <x:row r="57" ht="38" customHeight="1">
      <x:c r="A57" s="35" t="n">
        <x:v>56</x:v>
      </x:c>
      <x:c r="B57" s="35" t="str">
        <x:v>currency_wars_equipment_058</x:v>
      </x:c>
      <x:c r="C57" s="35" t="str">
        <x:v>战场进化手册</x:v>
      </x:c>
      <x:c r="D57" s="35" t="str">
        <x:v>进阶装备</x:v>
      </x:c>
      <x:c r="E57" s="35" t="str">
        <x:v>advanced</x:v>
      </x:c>
      <x:c r="F57" s="35" t="str">
        <x:v>是</x:v>
      </x:c>
      <x:c r="G57" s="35" t="str">
        <x:v>是</x:v>
      </x:c>
      <x:c r="H57" s="35" t="str"/>
      <x:c r="I57" s="35" t="str">
        <x:v>currency_wars_equipment_041；currency_wars_equipment_044</x:v>
      </x:c>
      <x:c r="J57" s="35" t="str">
        <x:v>assets/currency_wars_equipment_icons/currency_wars_equipment_058.png</x:v>
      </x:c>
      <x:c r="K57" s="35" t="str">
        <x:v>ceb9c15bd35a9524343fec674b485fc4c2695d6bc659a7a2ec311d65e9c4e78e</x:v>
      </x:c>
      <x:c r="L57" s="35" t="str">
        <x:v>ceb9c15bd35a9524343fec674b485fc4c2695d6bc659a7a2ec311d65e9c4e78e</x:v>
      </x:c>
      <x:c r="M57" s="36" t="b">
        <x:v>1</x:v>
      </x:c>
      <x:c r="N57" s="39" t="n">
        <x:f>COUNTIF($L$2:$L$158,L57)</x:f>
        <x:v>2</x:v>
      </x:c>
      <x:c r="O57" s="39" t="str">
        <x:v>058；097</x:v>
      </x:c>
      <x:c r="P57" s="39" t="str">
        <x:v>战场进化手册；战场进化手册•特权</x:v>
      </x:c>
      <x:c r="Q57" s="35" t="n">
        <x:v>32644</x:v>
      </x:c>
      <x:c r="R57" s="35" t="n">
        <x:v>128</x:v>
      </x:c>
      <x:c r="S57" s="35" t="n">
        <x:v>128</x:v>
      </x:c>
      <x:c r="T57" s="35" t="str">
        <x:v>https://patchwiki.biligame.com/images/sr/9/9c/0unwdntnbtfeibmr78936k53mwugz26.png</x:v>
      </x:c>
      <x:c r="U57" s="35" t="str">
        <x:v>https://wiki.biligame.com/sr/%E6%88%98%E5%9C%BA%E8%BF%9B%E5%8C%96%E6%89%8B%E5%86%8C</x:v>
      </x:c>
      <x:c r="V57" s="35" t="n">
        <x:v>99085</x:v>
      </x:c>
      <x:c r="W57" s="35" t="n">
        <x:v>200</x:v>
      </x:c>
      <x:c r="X57" s="35" t="str">
        <x:v>ceb9c15bd35a9524343fec674b485fc4c2695d6bc659a7a2ec311d65e9c4e78e</x:v>
      </x:c>
      <x:c r="Y57" s="36" t="b">
        <x:v>1</x:v>
      </x:c>
      <x:c r="Z57" s="36" t="b">
        <x:v>1</x:v>
      </x:c>
      <x:c r="AA57" s="35" t="str">
        <x:v>HTTP 567（限流/反爬）</x:v>
      </x:c>
      <x:c r="AB57" s="35" t="str"/>
      <x:c r="AC57" s="35" t="str">
        <x:v>equipment-contact-03.png</x:v>
      </x:c>
      <x:c r="AD57" s="35" t="str">
        <x:v>第4行第1列</x:v>
      </x:c>
      <x:c r="AE57" s="35" t="str">
        <x:v>逐项可见；未见空白、破损、异常裁切或相邻错位</x:v>
      </x:c>
      <x:c r="AF57" s="35" t="str">
        <x:v>同图多ID；识别时必须保留CandidateIds/Unknown，不得强收敛</x:v>
      </x:c>
      <x:c r="AG57" s="35" t="str">
        <x:v>BWIKI oldid=99085+PatchWiki；米游社官方资料仅提供玩法或少量条目补充</x:v>
      </x:c>
      <x:c r="AH57" s="35" t="str">
        <x:v>仅凭图标无法区分本簇具体ID</x:v>
      </x:c>
      <x:c r="AI57" s="40" t="str">
        <x:f>IF(OR(K57&lt;&gt;L57,M57&lt;&gt;TRUE,Y57&lt;&gt;TRUE,Z57&lt;&gt;TRUE),"冲突",IF(OR(D57="？",D57="？？？"),"分类冲突待确认",IF(N57&gt;1,"图标一致；具体ID不唯一","图标/名称/来源无已发现冲突")))</x:f>
        <x:v>图标一致；具体ID不唯一</x:v>
      </x:c>
    </x:row>
    <x:row r="58" ht="38" customHeight="1">
      <x:c r="A58" s="35" t="n">
        <x:v>57</x:v>
      </x:c>
      <x:c r="B58" s="35" t="str">
        <x:v>currency_wars_equipment_059</x:v>
      </x:c>
      <x:c r="C58" s="35" t="str">
        <x:v>掩体生成枪</x:v>
      </x:c>
      <x:c r="D58" s="35" t="str">
        <x:v>进阶装备</x:v>
      </x:c>
      <x:c r="E58" s="35" t="str">
        <x:v>advanced</x:v>
      </x:c>
      <x:c r="F58" s="35" t="str">
        <x:v>是</x:v>
      </x:c>
      <x:c r="G58" s="35" t="str">
        <x:v>是</x:v>
      </x:c>
      <x:c r="H58" s="35" t="str"/>
      <x:c r="I58" s="35" t="str">
        <x:v>currency_wars_equipment_045；currency_wars_equipment_042</x:v>
      </x:c>
      <x:c r="J58" s="35" t="str">
        <x:v>assets/currency_wars_equipment_icons/currency_wars_equipment_059.png</x:v>
      </x:c>
      <x:c r="K58" s="35" t="str">
        <x:v>141d508a6fdef1b32355695aae4ce660ce2ab31ddd97f7a353192992fc7b6c83</x:v>
      </x:c>
      <x:c r="L58" s="35" t="str">
        <x:v>141d508a6fdef1b32355695aae4ce660ce2ab31ddd97f7a353192992fc7b6c83</x:v>
      </x:c>
      <x:c r="M58" s="36" t="b">
        <x:v>1</x:v>
      </x:c>
      <x:c r="N58" s="39" t="n">
        <x:f>COUNTIF($L$2:$L$158,L58)</x:f>
        <x:v>2</x:v>
      </x:c>
      <x:c r="O58" s="39" t="str">
        <x:v>059；098</x:v>
      </x:c>
      <x:c r="P58" s="39" t="str">
        <x:v>掩体生成枪；掩体生成枪•特权</x:v>
      </x:c>
      <x:c r="Q58" s="35" t="n">
        <x:v>31931</x:v>
      </x:c>
      <x:c r="R58" s="35" t="n">
        <x:v>128</x:v>
      </x:c>
      <x:c r="S58" s="35" t="n">
        <x:v>128</x:v>
      </x:c>
      <x:c r="T58" s="35" t="str">
        <x:v>https://patchwiki.biligame.com/images/sr/3/31/tt9chl4txl7z29941avj88i1yoedelf.png</x:v>
      </x:c>
      <x:c r="U58" s="35" t="str">
        <x:v>https://wiki.biligame.com/sr/%E6%8E%A9%E4%BD%93%E7%94%9F%E6%88%90%E6%9E%AA</x:v>
      </x:c>
      <x:c r="V58" s="35" t="n">
        <x:v>99085</x:v>
      </x:c>
      <x:c r="W58" s="35" t="n">
        <x:v>200</x:v>
      </x:c>
      <x:c r="X58" s="35" t="str">
        <x:v>141d508a6fdef1b32355695aae4ce660ce2ab31ddd97f7a353192992fc7b6c83</x:v>
      </x:c>
      <x:c r="Y58" s="36" t="b">
        <x:v>1</x:v>
      </x:c>
      <x:c r="Z58" s="36" t="b">
        <x:v>1</x:v>
      </x:c>
      <x:c r="AA58" s="35" t="str">
        <x:v>HTTP 567（限流/反爬）</x:v>
      </x:c>
      <x:c r="AB58" s="35" t="str"/>
      <x:c r="AC58" s="35" t="str">
        <x:v>equipment-contact-03.png</x:v>
      </x:c>
      <x:c r="AD58" s="35" t="str">
        <x:v>第4行第2列</x:v>
      </x:c>
      <x:c r="AE58" s="35" t="str">
        <x:v>逐项可见；未见空白、破损、异常裁切或相邻错位</x:v>
      </x:c>
      <x:c r="AF58" s="35" t="str">
        <x:v>同图多ID；识别时必须保留CandidateIds/Unknown，不得强收敛</x:v>
      </x:c>
      <x:c r="AG58" s="35" t="str">
        <x:v>BWIKI oldid=99085+PatchWiki；米游社官方资料仅提供玩法或少量条目补充</x:v>
      </x:c>
      <x:c r="AH58" s="35" t="str">
        <x:v>仅凭图标无法区分本簇具体ID</x:v>
      </x:c>
      <x:c r="AI58" s="40" t="str">
        <x:f>IF(OR(K58&lt;&gt;L58,M58&lt;&gt;TRUE,Y58&lt;&gt;TRUE,Z58&lt;&gt;TRUE),"冲突",IF(OR(D58="？",D58="？？？"),"分类冲突待确认",IF(N58&gt;1,"图标一致；具体ID不唯一","图标/名称/来源无已发现冲突")))</x:f>
        <x:v>图标一致；具体ID不唯一</x:v>
      </x:c>
    </x:row>
    <x:row r="59" ht="38" customHeight="1">
      <x:c r="A59" s="35" t="n">
        <x:v>58</x:v>
      </x:c>
      <x:c r="B59" s="35" t="str">
        <x:v>currency_wars_equipment_060</x:v>
      </x:c>
      <x:c r="C59" s="35" t="str">
        <x:v>斩首行动</x:v>
      </x:c>
      <x:c r="D59" s="35" t="str">
        <x:v>进阶装备</x:v>
      </x:c>
      <x:c r="E59" s="35" t="str">
        <x:v>advanced</x:v>
      </x:c>
      <x:c r="F59" s="35" t="str">
        <x:v>是</x:v>
      </x:c>
      <x:c r="G59" s="35" t="str">
        <x:v>是</x:v>
      </x:c>
      <x:c r="H59" s="35" t="str"/>
      <x:c r="I59" s="35" t="str">
        <x:v>currency_wars_equipment_040；currency_wars_equipment_042</x:v>
      </x:c>
      <x:c r="J59" s="35" t="str">
        <x:v>assets/currency_wars_equipment_icons/currency_wars_equipment_060.png</x:v>
      </x:c>
      <x:c r="K59" s="35" t="str">
        <x:v>b0adf69dddd5d0a23fdd0fea212c0b83a830ed01a268fbdddcc3f9825bfbc7a5</x:v>
      </x:c>
      <x:c r="L59" s="35" t="str">
        <x:v>b0adf69dddd5d0a23fdd0fea212c0b83a830ed01a268fbdddcc3f9825bfbc7a5</x:v>
      </x:c>
      <x:c r="M59" s="36" t="b">
        <x:v>1</x:v>
      </x:c>
      <x:c r="N59" s="39" t="n">
        <x:f>COUNTIF($L$2:$L$158,L59)</x:f>
        <x:v>4</x:v>
      </x:c>
      <x:c r="O59" s="39" t="str">
        <x:v>060；099；144；147</x:v>
      </x:c>
      <x:c r="P59" s="39" t="str">
        <x:v>斩首行动；斩首行动•特权；极•白昼•斩首行动；白昼•斩首行动</x:v>
      </x:c>
      <x:c r="Q59" s="35" t="n">
        <x:v>31190</x:v>
      </x:c>
      <x:c r="R59" s="35" t="n">
        <x:v>128</x:v>
      </x:c>
      <x:c r="S59" s="35" t="n">
        <x:v>128</x:v>
      </x:c>
      <x:c r="T59" s="35" t="str">
        <x:v>https://patchwiki.biligame.com/images/sr/3/36/pz3qe0xci2okxgu51qyp9zur7ejpert.png</x:v>
      </x:c>
      <x:c r="U59" s="35" t="str">
        <x:v>https://wiki.biligame.com/sr/%E6%96%A9%E9%A6%96%E8%A1%8C%E5%8A%A8</x:v>
      </x:c>
      <x:c r="V59" s="35" t="n">
        <x:v>99085</x:v>
      </x:c>
      <x:c r="W59" s="35" t="n">
        <x:v>200</x:v>
      </x:c>
      <x:c r="X59" s="35" t="str">
        <x:v>b0adf69dddd5d0a23fdd0fea212c0b83a830ed01a268fbdddcc3f9825bfbc7a5</x:v>
      </x:c>
      <x:c r="Y59" s="36" t="b">
        <x:v>1</x:v>
      </x:c>
      <x:c r="Z59" s="36" t="b">
        <x:v>1</x:v>
      </x:c>
      <x:c r="AA59" s="35" t="str">
        <x:v>HTTP 567（限流/反爬）</x:v>
      </x:c>
      <x:c r="AB59" s="35" t="str"/>
      <x:c r="AC59" s="35" t="str">
        <x:v>equipment-contact-03.png</x:v>
      </x:c>
      <x:c r="AD59" s="35" t="str">
        <x:v>第4行第3列</x:v>
      </x:c>
      <x:c r="AE59" s="35" t="str">
        <x:v>逐项可见；未见空白、破损、异常裁切或相邻错位</x:v>
      </x:c>
      <x:c r="AF59" s="35" t="str">
        <x:v>同图多ID；识别时必须保留CandidateIds/Unknown，不得强收敛</x:v>
      </x:c>
      <x:c r="AG59" s="35" t="str">
        <x:v>BWIKI oldid=99085+PatchWiki；米游社官方资料仅提供玩法或少量条目补充</x:v>
      </x:c>
      <x:c r="AH59" s="35" t="str">
        <x:v>仅凭图标无法区分本簇具体ID</x:v>
      </x:c>
      <x:c r="AI59" s="40" t="str">
        <x:f>IF(OR(K59&lt;&gt;L59,M59&lt;&gt;TRUE,Y59&lt;&gt;TRUE,Z59&lt;&gt;TRUE),"冲突",IF(OR(D59="？",D59="？？？"),"分类冲突待确认",IF(N59&gt;1,"图标一致；具体ID不唯一","图标/名称/来源无已发现冲突")))</x:f>
        <x:v>图标一致；具体ID不唯一</x:v>
      </x:c>
    </x:row>
    <x:row r="60" ht="38" customHeight="1">
      <x:c r="A60" s="35" t="n">
        <x:v>59</x:v>
      </x:c>
      <x:c r="B60" s="35" t="str">
        <x:v>currency_wars_equipment_061</x:v>
      </x:c>
      <x:c r="C60" s="35" t="str">
        <x:v>杀红眼</x:v>
      </x:c>
      <x:c r="D60" s="35" t="str">
        <x:v>进阶装备</x:v>
      </x:c>
      <x:c r="E60" s="35" t="str">
        <x:v>advanced</x:v>
      </x:c>
      <x:c r="F60" s="35" t="str">
        <x:v>是</x:v>
      </x:c>
      <x:c r="G60" s="35" t="str">
        <x:v>是</x:v>
      </x:c>
      <x:c r="H60" s="35" t="str"/>
      <x:c r="I60" s="35" t="str">
        <x:v>currency_wars_equipment_045；currency_wars_equipment_044</x:v>
      </x:c>
      <x:c r="J60" s="35" t="str">
        <x:v>assets/currency_wars_equipment_icons/currency_wars_equipment_061.png</x:v>
      </x:c>
      <x:c r="K60" s="35" t="str">
        <x:v>f521d20bc46c8e46893fa4ebed01e15fdc6732e627607eaaf062680cad852b7b</x:v>
      </x:c>
      <x:c r="L60" s="35" t="str">
        <x:v>f521d20bc46c8e46893fa4ebed01e15fdc6732e627607eaaf062680cad852b7b</x:v>
      </x:c>
      <x:c r="M60" s="36" t="b">
        <x:v>1</x:v>
      </x:c>
      <x:c r="N60" s="39" t="n">
        <x:f>COUNTIF($L$2:$L$158,L60)</x:f>
        <x:v>2</x:v>
      </x:c>
      <x:c r="O60" s="39" t="str">
        <x:v>061；100</x:v>
      </x:c>
      <x:c r="P60" s="39" t="str">
        <x:v>杀红眼；杀红眼•特权</x:v>
      </x:c>
      <x:c r="Q60" s="35" t="n">
        <x:v>29300</x:v>
      </x:c>
      <x:c r="R60" s="35" t="n">
        <x:v>128</x:v>
      </x:c>
      <x:c r="S60" s="35" t="n">
        <x:v>128</x:v>
      </x:c>
      <x:c r="T60" s="35" t="str">
        <x:v>https://patchwiki.biligame.com/images/sr/9/9d/c8u8zqx3igju3acfb4lw5inlon0t9rq.png</x:v>
      </x:c>
      <x:c r="U60" s="35" t="str">
        <x:v>https://wiki.biligame.com/sr/%E6%9D%80%E7%BA%A2%E7%9C%BC</x:v>
      </x:c>
      <x:c r="V60" s="35" t="n">
        <x:v>99085</x:v>
      </x:c>
      <x:c r="W60" s="35" t="n">
        <x:v>200</x:v>
      </x:c>
      <x:c r="X60" s="35" t="str">
        <x:v>f521d20bc46c8e46893fa4ebed01e15fdc6732e627607eaaf062680cad852b7b</x:v>
      </x:c>
      <x:c r="Y60" s="36" t="b">
        <x:v>1</x:v>
      </x:c>
      <x:c r="Z60" s="36" t="b">
        <x:v>1</x:v>
      </x:c>
      <x:c r="AA60" s="35" t="str">
        <x:v>HTTP 567（限流/反爬）</x:v>
      </x:c>
      <x:c r="AB60" s="35" t="str"/>
      <x:c r="AC60" s="35" t="str">
        <x:v>equipment-contact-03.png</x:v>
      </x:c>
      <x:c r="AD60" s="35" t="str">
        <x:v>第4行第4列</x:v>
      </x:c>
      <x:c r="AE60" s="35" t="str">
        <x:v>逐项可见；未见空白、破损、异常裁切或相邻错位</x:v>
      </x:c>
      <x:c r="AF60" s="35" t="str">
        <x:v>同图多ID；识别时必须保留CandidateIds/Unknown，不得强收敛</x:v>
      </x:c>
      <x:c r="AG60" s="35" t="str">
        <x:v>BWIKI oldid=99085+PatchWiki；米游社官方资料仅提供玩法或少量条目补充</x:v>
      </x:c>
      <x:c r="AH60" s="35" t="str">
        <x:v>仅凭图标无法区分本簇具体ID</x:v>
      </x:c>
      <x:c r="AI60" s="40" t="str">
        <x:f>IF(OR(K60&lt;&gt;L60,M60&lt;&gt;TRUE,Y60&lt;&gt;TRUE,Z60&lt;&gt;TRUE),"冲突",IF(OR(D60="？",D60="？？？"),"分类冲突待确认",IF(N60&gt;1,"图标一致；具体ID不唯一","图标/名称/来源无已发现冲突")))</x:f>
        <x:v>图标一致；具体ID不唯一</x:v>
      </x:c>
    </x:row>
    <x:row r="61" ht="38" customHeight="1">
      <x:c r="A61" s="35" t="n">
        <x:v>60</x:v>
      </x:c>
      <x:c r="B61" s="35" t="str">
        <x:v>currency_wars_equipment_062</x:v>
      </x:c>
      <x:c r="C61" s="35" t="str">
        <x:v>步步生花</x:v>
      </x:c>
      <x:c r="D61" s="35" t="str">
        <x:v>进阶装备</x:v>
      </x:c>
      <x:c r="E61" s="35" t="str">
        <x:v>advanced</x:v>
      </x:c>
      <x:c r="F61" s="35" t="str">
        <x:v>是</x:v>
      </x:c>
      <x:c r="G61" s="35" t="str">
        <x:v>是</x:v>
      </x:c>
      <x:c r="H61" s="35" t="str"/>
      <x:c r="I61" s="35" t="str">
        <x:v>currency_wars_equipment_045；currency_wars_equipment_046</x:v>
      </x:c>
      <x:c r="J61" s="35" t="str">
        <x:v>assets/currency_wars_equipment_icons/currency_wars_equipment_062.png</x:v>
      </x:c>
      <x:c r="K61" s="35" t="str">
        <x:v>4c8eae7c74f190fa5c1fd125f6edcf48bf821f2363f91e4ab6774e0fbb20b8b7</x:v>
      </x:c>
      <x:c r="L61" s="35" t="str">
        <x:v>4c8eae7c74f190fa5c1fd125f6edcf48bf821f2363f91e4ab6774e0fbb20b8b7</x:v>
      </x:c>
      <x:c r="M61" s="36" t="b">
        <x:v>1</x:v>
      </x:c>
      <x:c r="N61" s="39" t="n">
        <x:f>COUNTIF($L$2:$L$158,L61)</x:f>
        <x:v>2</x:v>
      </x:c>
      <x:c r="O61" s="39" t="str">
        <x:v>062；101</x:v>
      </x:c>
      <x:c r="P61" s="39" t="str">
        <x:v>步步生花；步步生花•特权</x:v>
      </x:c>
      <x:c r="Q61" s="35" t="n">
        <x:v>31263</x:v>
      </x:c>
      <x:c r="R61" s="35" t="n">
        <x:v>128</x:v>
      </x:c>
      <x:c r="S61" s="35" t="n">
        <x:v>128</x:v>
      </x:c>
      <x:c r="T61" s="35" t="str">
        <x:v>https://patchwiki.biligame.com/images/sr/a/a6/tp9rcxq8umu91bel9q1dgy0h5any5f3.png</x:v>
      </x:c>
      <x:c r="U61" s="35" t="str">
        <x:v>https://wiki.biligame.com/sr/%E6%AD%A5%E6%AD%A5%E7%94%9F%E8%8A%B1</x:v>
      </x:c>
      <x:c r="V61" s="35" t="n">
        <x:v>99085</x:v>
      </x:c>
      <x:c r="W61" s="35" t="n">
        <x:v>200</x:v>
      </x:c>
      <x:c r="X61" s="35" t="str">
        <x:v>4c8eae7c74f190fa5c1fd125f6edcf48bf821f2363f91e4ab6774e0fbb20b8b7</x:v>
      </x:c>
      <x:c r="Y61" s="36" t="b">
        <x:v>1</x:v>
      </x:c>
      <x:c r="Z61" s="36" t="b">
        <x:v>1</x:v>
      </x:c>
      <x:c r="AA61" s="35" t="str">
        <x:v>HTTP 567（限流/反爬）</x:v>
      </x:c>
      <x:c r="AB61" s="35" t="str"/>
      <x:c r="AC61" s="35" t="str">
        <x:v>equipment-contact-03.png</x:v>
      </x:c>
      <x:c r="AD61" s="35" t="str">
        <x:v>第4行第5列</x:v>
      </x:c>
      <x:c r="AE61" s="35" t="str">
        <x:v>逐项可见；未见空白、破损、异常裁切或相邻错位</x:v>
      </x:c>
      <x:c r="AF61" s="35" t="str">
        <x:v>同图多ID；识别时必须保留CandidateIds/Unknown，不得强收敛</x:v>
      </x:c>
      <x:c r="AG61" s="35" t="str">
        <x:v>BWIKI oldid=99085+PatchWiki；米游社官方资料仅提供玩法或少量条目补充</x:v>
      </x:c>
      <x:c r="AH61" s="35" t="str">
        <x:v>仅凭图标无法区分本簇具体ID</x:v>
      </x:c>
      <x:c r="AI61" s="40" t="str">
        <x:f>IF(OR(K61&lt;&gt;L61,M61&lt;&gt;TRUE,Y61&lt;&gt;TRUE,Z61&lt;&gt;TRUE),"冲突",IF(OR(D61="？",D61="？？？"),"分类冲突待确认",IF(N61&gt;1,"图标一致；具体ID不唯一","图标/名称/来源无已发现冲突")))</x:f>
        <x:v>图标一致；具体ID不唯一</x:v>
      </x:c>
    </x:row>
    <x:row r="62" ht="38" customHeight="1">
      <x:c r="A62" s="35" t="n">
        <x:v>61</x:v>
      </x:c>
      <x:c r="B62" s="35" t="str">
        <x:v>currency_wars_equipment_063</x:v>
      </x:c>
      <x:c r="C62" s="35" t="str">
        <x:v>武器大师</x:v>
      </x:c>
      <x:c r="D62" s="35" t="str">
        <x:v>进阶装备</x:v>
      </x:c>
      <x:c r="E62" s="35" t="str">
        <x:v>advanced</x:v>
      </x:c>
      <x:c r="F62" s="35" t="str">
        <x:v>是</x:v>
      </x:c>
      <x:c r="G62" s="35" t="str">
        <x:v>是</x:v>
      </x:c>
      <x:c r="H62" s="35" t="str"/>
      <x:c r="I62" s="35" t="str">
        <x:v>currency_wars_equipment_042；currency_wars_equipment_044</x:v>
      </x:c>
      <x:c r="J62" s="35" t="str">
        <x:v>assets/currency_wars_equipment_icons/currency_wars_equipment_063.png</x:v>
      </x:c>
      <x:c r="K62" s="35" t="str">
        <x:v>93348c2a315f9c98e8161bda98add1b8f30ca312fd1ca69d1b26d466f4dfcc06</x:v>
      </x:c>
      <x:c r="L62" s="35" t="str">
        <x:v>93348c2a315f9c98e8161bda98add1b8f30ca312fd1ca69d1b26d466f4dfcc06</x:v>
      </x:c>
      <x:c r="M62" s="36" t="b">
        <x:v>1</x:v>
      </x:c>
      <x:c r="N62" s="39" t="n">
        <x:f>COUNTIF($L$2:$L$158,L62)</x:f>
        <x:v>4</x:v>
      </x:c>
      <x:c r="O62" s="39" t="str">
        <x:v>063；102；145；148</x:v>
      </x:c>
      <x:c r="P62" s="39" t="str">
        <x:v>武器大师；武器大师•特权；极•白昼•武器大师；白昼•武器大师</x:v>
      </x:c>
      <x:c r="Q62" s="35" t="n">
        <x:v>34524</x:v>
      </x:c>
      <x:c r="R62" s="35" t="n">
        <x:v>128</x:v>
      </x:c>
      <x:c r="S62" s="35" t="n">
        <x:v>128</x:v>
      </x:c>
      <x:c r="T62" s="35" t="str">
        <x:v>https://patchwiki.biligame.com/images/sr/4/48/hgt31ij3fy4x37nmhmuads1kd3ffaw1.png</x:v>
      </x:c>
      <x:c r="U62" s="35" t="str">
        <x:v>https://wiki.biligame.com/sr/%E6%AD%A6%E5%99%A8%E5%A4%A7%E5%B8%88</x:v>
      </x:c>
      <x:c r="V62" s="35" t="n">
        <x:v>99085</x:v>
      </x:c>
      <x:c r="W62" s="35" t="n">
        <x:v>200</x:v>
      </x:c>
      <x:c r="X62" s="35" t="str">
        <x:v>93348c2a315f9c98e8161bda98add1b8f30ca312fd1ca69d1b26d466f4dfcc06</x:v>
      </x:c>
      <x:c r="Y62" s="36" t="b">
        <x:v>1</x:v>
      </x:c>
      <x:c r="Z62" s="36" t="b">
        <x:v>1</x:v>
      </x:c>
      <x:c r="AA62" s="35" t="str">
        <x:v>HTTP 567（限流/反爬）</x:v>
      </x:c>
      <x:c r="AB62" s="35" t="str"/>
      <x:c r="AC62" s="35" t="str">
        <x:v>equipment-contact-04.png</x:v>
      </x:c>
      <x:c r="AD62" s="35" t="str">
        <x:v>第1行第1列</x:v>
      </x:c>
      <x:c r="AE62" s="35" t="str">
        <x:v>逐项可见；未见空白、破损、异常裁切或相邻错位</x:v>
      </x:c>
      <x:c r="AF62" s="35" t="str">
        <x:v>同图多ID；识别时必须保留CandidateIds/Unknown，不得强收敛</x:v>
      </x:c>
      <x:c r="AG62" s="35" t="str">
        <x:v>BWIKI oldid=99085+PatchWiki；米游社官方资料仅提供玩法或少量条目补充</x:v>
      </x:c>
      <x:c r="AH62" s="35" t="str">
        <x:v>仅凭图标无法区分本簇具体ID</x:v>
      </x:c>
      <x:c r="AI62" s="40" t="str">
        <x:f>IF(OR(K62&lt;&gt;L62,M62&lt;&gt;TRUE,Y62&lt;&gt;TRUE,Z62&lt;&gt;TRUE),"冲突",IF(OR(D62="？",D62="？？？"),"分类冲突待确认",IF(N62&gt;1,"图标一致；具体ID不唯一","图标/名称/来源无已发现冲突")))</x:f>
        <x:v>图标一致；具体ID不唯一</x:v>
      </x:c>
    </x:row>
    <x:row r="63" ht="38" customHeight="1">
      <x:c r="A63" s="35" t="n">
        <x:v>62</x:v>
      </x:c>
      <x:c r="B63" s="35" t="str">
        <x:v>currency_wars_equipment_064</x:v>
      </x:c>
      <x:c r="C63" s="35" t="str">
        <x:v>永动机</x:v>
      </x:c>
      <x:c r="D63" s="35" t="str">
        <x:v>进阶装备</x:v>
      </x:c>
      <x:c r="E63" s="35" t="str">
        <x:v>advanced</x:v>
      </x:c>
      <x:c r="F63" s="35" t="str">
        <x:v>是</x:v>
      </x:c>
      <x:c r="G63" s="35" t="str">
        <x:v>是</x:v>
      </x:c>
      <x:c r="H63" s="35" t="str"/>
      <x:c r="I63" s="35" t="str">
        <x:v>currency_wars_equipment_041；currency_wars_equipment_041</x:v>
      </x:c>
      <x:c r="J63" s="35" t="str">
        <x:v>assets/currency_wars_equipment_icons/currency_wars_equipment_064.png</x:v>
      </x:c>
      <x:c r="K63" s="35" t="str">
        <x:v>20f77f28e219c512cc588f109f488b5ea091da115a8a98ad2968abfc39b6ea7e</x:v>
      </x:c>
      <x:c r="L63" s="35" t="str">
        <x:v>20f77f28e219c512cc588f109f488b5ea091da115a8a98ad2968abfc39b6ea7e</x:v>
      </x:c>
      <x:c r="M63" s="36" t="b">
        <x:v>1</x:v>
      </x:c>
      <x:c r="N63" s="39" t="n">
        <x:f>COUNTIF($L$2:$L$158,L63)</x:f>
        <x:v>2</x:v>
      </x:c>
      <x:c r="O63" s="39" t="str">
        <x:v>064；103</x:v>
      </x:c>
      <x:c r="P63" s="39" t="str">
        <x:v>永动机；永动机•特权</x:v>
      </x:c>
      <x:c r="Q63" s="35" t="n">
        <x:v>32428</x:v>
      </x:c>
      <x:c r="R63" s="35" t="n">
        <x:v>128</x:v>
      </x:c>
      <x:c r="S63" s="35" t="n">
        <x:v>128</x:v>
      </x:c>
      <x:c r="T63" s="35" t="str">
        <x:v>https://patchwiki.biligame.com/images/sr/8/85/q757o4d9skctjwjsmnow7zsyexw5le2.png</x:v>
      </x:c>
      <x:c r="U63" s="35" t="str">
        <x:v>https://wiki.biligame.com/sr/%E6%B0%B8%E5%8A%A8%E6%9C%BA</x:v>
      </x:c>
      <x:c r="V63" s="35" t="n">
        <x:v>99085</x:v>
      </x:c>
      <x:c r="W63" s="35" t="n">
        <x:v>200</x:v>
      </x:c>
      <x:c r="X63" s="35" t="str">
        <x:v>20f77f28e219c512cc588f109f488b5ea091da115a8a98ad2968abfc39b6ea7e</x:v>
      </x:c>
      <x:c r="Y63" s="36" t="b">
        <x:v>1</x:v>
      </x:c>
      <x:c r="Z63" s="36" t="b">
        <x:v>1</x:v>
      </x:c>
      <x:c r="AA63" s="35" t="str">
        <x:v>HTTP 567（限流/反爬）</x:v>
      </x:c>
      <x:c r="AB63" s="35" t="str"/>
      <x:c r="AC63" s="35" t="str">
        <x:v>equipment-contact-04.png</x:v>
      </x:c>
      <x:c r="AD63" s="35" t="str">
        <x:v>第1行第2列</x:v>
      </x:c>
      <x:c r="AE63" s="35" t="str">
        <x:v>逐项可见；未见空白、破损、异常裁切或相邻错位</x:v>
      </x:c>
      <x:c r="AF63" s="35" t="str">
        <x:v>同图多ID；识别时必须保留CandidateIds/Unknown，不得强收敛</x:v>
      </x:c>
      <x:c r="AG63" s="35" t="str">
        <x:v>BWIKI oldid=99085+PatchWiki；米游社官方资料仅提供玩法或少量条目补充</x:v>
      </x:c>
      <x:c r="AH63" s="35" t="str">
        <x:v>仅凭图标无法区分本簇具体ID</x:v>
      </x:c>
      <x:c r="AI63" s="40" t="str">
        <x:f>IF(OR(K63&lt;&gt;L63,M63&lt;&gt;TRUE,Y63&lt;&gt;TRUE,Z63&lt;&gt;TRUE),"冲突",IF(OR(D63="？",D63="？？？"),"分类冲突待确认",IF(N63&gt;1,"图标一致；具体ID不唯一","图标/名称/来源无已发现冲突")))</x:f>
        <x:v>图标一致；具体ID不唯一</x:v>
      </x:c>
    </x:row>
    <x:row r="64" ht="38" customHeight="1">
      <x:c r="A64" s="35" t="n">
        <x:v>63</x:v>
      </x:c>
      <x:c r="B64" s="35" t="str">
        <x:v>currency_wars_equipment_065</x:v>
      </x:c>
      <x:c r="C64" s="35" t="str">
        <x:v>流星飞翼</x:v>
      </x:c>
      <x:c r="D64" s="35" t="str">
        <x:v>进阶装备</x:v>
      </x:c>
      <x:c r="E64" s="35" t="str">
        <x:v>advanced</x:v>
      </x:c>
      <x:c r="F64" s="35" t="str">
        <x:v>是</x:v>
      </x:c>
      <x:c r="G64" s="35" t="str">
        <x:v>是</x:v>
      </x:c>
      <x:c r="H64" s="35" t="str"/>
      <x:c r="I64" s="35" t="str">
        <x:v>currency_wars_equipment_047；currency_wars_equipment_046</x:v>
      </x:c>
      <x:c r="J64" s="35" t="str">
        <x:v>assets/currency_wars_equipment_icons/currency_wars_equipment_065.png</x:v>
      </x:c>
      <x:c r="K64" s="35" t="str">
        <x:v>563ed7f4a54407f1b8ee88e837789e264cb59f4cb17de0460115d5f747796d4b</x:v>
      </x:c>
      <x:c r="L64" s="35" t="str">
        <x:v>563ed7f4a54407f1b8ee88e837789e264cb59f4cb17de0460115d5f747796d4b</x:v>
      </x:c>
      <x:c r="M64" s="36" t="b">
        <x:v>1</x:v>
      </x:c>
      <x:c r="N64" s="39" t="n">
        <x:f>COUNTIF($L$2:$L$158,L64)</x:f>
        <x:v>2</x:v>
      </x:c>
      <x:c r="O64" s="39" t="str">
        <x:v>065；104</x:v>
      </x:c>
      <x:c r="P64" s="39" t="str">
        <x:v>流星飞翼；流星飞翼•特权</x:v>
      </x:c>
      <x:c r="Q64" s="35" t="n">
        <x:v>29579</x:v>
      </x:c>
      <x:c r="R64" s="35" t="n">
        <x:v>128</x:v>
      </x:c>
      <x:c r="S64" s="35" t="n">
        <x:v>128</x:v>
      </x:c>
      <x:c r="T64" s="35" t="str">
        <x:v>https://patchwiki.biligame.com/images/sr/c/c4/alrn3tliluloz3vgqjrk499cd0w0da2.png</x:v>
      </x:c>
      <x:c r="U64" s="35" t="str">
        <x:v>https://wiki.biligame.com/sr/%E6%B5%81%E6%98%9F%E9%A3%9E%E7%BF%BC</x:v>
      </x:c>
      <x:c r="V64" s="35" t="n">
        <x:v>99085</x:v>
      </x:c>
      <x:c r="W64" s="35" t="n">
        <x:v>200</x:v>
      </x:c>
      <x:c r="X64" s="35" t="str">
        <x:v>563ed7f4a54407f1b8ee88e837789e264cb59f4cb17de0460115d5f747796d4b</x:v>
      </x:c>
      <x:c r="Y64" s="36" t="b">
        <x:v>1</x:v>
      </x:c>
      <x:c r="Z64" s="36" t="b">
        <x:v>1</x:v>
      </x:c>
      <x:c r="AA64" s="35" t="str">
        <x:v>HTTP 567（限流/反爬）</x:v>
      </x:c>
      <x:c r="AB64" s="35" t="str"/>
      <x:c r="AC64" s="35" t="str">
        <x:v>equipment-contact-04.png</x:v>
      </x:c>
      <x:c r="AD64" s="35" t="str">
        <x:v>第1行第3列</x:v>
      </x:c>
      <x:c r="AE64" s="35" t="str">
        <x:v>逐项可见；未见空白、破损、异常裁切或相邻错位</x:v>
      </x:c>
      <x:c r="AF64" s="35" t="str">
        <x:v>同图多ID；识别时必须保留CandidateIds/Unknown，不得强收敛</x:v>
      </x:c>
      <x:c r="AG64" s="35" t="str">
        <x:v>BWIKI oldid=99085+PatchWiki；米游社官方资料仅提供玩法或少量条目补充</x:v>
      </x:c>
      <x:c r="AH64" s="35" t="str">
        <x:v>仅凭图标无法区分本簇具体ID</x:v>
      </x:c>
      <x:c r="AI64" s="40" t="str">
        <x:f>IF(OR(K64&lt;&gt;L64,M64&lt;&gt;TRUE,Y64&lt;&gt;TRUE,Z64&lt;&gt;TRUE),"冲突",IF(OR(D64="？",D64="？？？"),"分类冲突待确认",IF(N64&gt;1,"图标一致；具体ID不唯一","图标/名称/来源无已发现冲突")))</x:f>
        <x:v>图标一致；具体ID不唯一</x:v>
      </x:c>
    </x:row>
    <x:row r="65" ht="38" customHeight="1">
      <x:c r="A65" s="35" t="n">
        <x:v>64</x:v>
      </x:c>
      <x:c r="B65" s="35" t="str">
        <x:v>currency_wars_equipment_066</x:v>
      </x:c>
      <x:c r="C65" s="35" t="str">
        <x:v>火力风暴潮</x:v>
      </x:c>
      <x:c r="D65" s="35" t="str">
        <x:v>进阶装备</x:v>
      </x:c>
      <x:c r="E65" s="35" t="str">
        <x:v>advanced</x:v>
      </x:c>
      <x:c r="F65" s="35" t="str">
        <x:v>是</x:v>
      </x:c>
      <x:c r="G65" s="35" t="str">
        <x:v>是</x:v>
      </x:c>
      <x:c r="H65" s="35" t="str"/>
      <x:c r="I65" s="35" t="str">
        <x:v>currency_wars_equipment_044；currency_wars_equipment_046</x:v>
      </x:c>
      <x:c r="J65" s="35" t="str">
        <x:v>assets/currency_wars_equipment_icons/currency_wars_equipment_066.png</x:v>
      </x:c>
      <x:c r="K65" s="35" t="str">
        <x:v>3f53c178daa9ce82877b9e7bf4d39f0dcac781e269e892b800f0551c68d6f548</x:v>
      </x:c>
      <x:c r="L65" s="35" t="str">
        <x:v>3f53c178daa9ce82877b9e7bf4d39f0dcac781e269e892b800f0551c68d6f548</x:v>
      </x:c>
      <x:c r="M65" s="36" t="b">
        <x:v>1</x:v>
      </x:c>
      <x:c r="N65" s="39" t="n">
        <x:f>COUNTIF($L$2:$L$158,L65)</x:f>
        <x:v>2</x:v>
      </x:c>
      <x:c r="O65" s="39" t="str">
        <x:v>066；105</x:v>
      </x:c>
      <x:c r="P65" s="39" t="str">
        <x:v>火力风暴潮；火力风暴潮•特权</x:v>
      </x:c>
      <x:c r="Q65" s="35" t="n">
        <x:v>26355</x:v>
      </x:c>
      <x:c r="R65" s="35" t="n">
        <x:v>128</x:v>
      </x:c>
      <x:c r="S65" s="35" t="n">
        <x:v>128</x:v>
      </x:c>
      <x:c r="T65" s="35" t="str">
        <x:v>https://patchwiki.biligame.com/images/sr/e/ec/procmtsk0qooo58ce92in7h1z2v9tv0.png</x:v>
      </x:c>
      <x:c r="U65" s="35" t="str">
        <x:v>https://wiki.biligame.com/sr/%E7%81%AB%E5%8A%9B%E9%A3%8E%E6%9A%B4%E6%BD%AE</x:v>
      </x:c>
      <x:c r="V65" s="35" t="n">
        <x:v>99085</x:v>
      </x:c>
      <x:c r="W65" s="35" t="n">
        <x:v>200</x:v>
      </x:c>
      <x:c r="X65" s="35" t="str">
        <x:v>3f53c178daa9ce82877b9e7bf4d39f0dcac781e269e892b800f0551c68d6f548</x:v>
      </x:c>
      <x:c r="Y65" s="36" t="b">
        <x:v>1</x:v>
      </x:c>
      <x:c r="Z65" s="36" t="b">
        <x:v>1</x:v>
      </x:c>
      <x:c r="AA65" s="35" t="str">
        <x:v>HTTP 567（限流/反爬）</x:v>
      </x:c>
      <x:c r="AB65" s="35" t="str"/>
      <x:c r="AC65" s="35" t="str">
        <x:v>equipment-contact-04.png</x:v>
      </x:c>
      <x:c r="AD65" s="35" t="str">
        <x:v>第1行第4列</x:v>
      </x:c>
      <x:c r="AE65" s="35" t="str">
        <x:v>逐项可见；未见空白、破损、异常裁切或相邻错位</x:v>
      </x:c>
      <x:c r="AF65" s="35" t="str">
        <x:v>同图多ID；识别时必须保留CandidateIds/Unknown，不得强收敛</x:v>
      </x:c>
      <x:c r="AG65" s="35" t="str">
        <x:v>BWIKI oldid=99085+PatchWiki；米游社官方资料仅提供玩法或少量条目补充</x:v>
      </x:c>
      <x:c r="AH65" s="35" t="str">
        <x:v>仅凭图标无法区分本簇具体ID</x:v>
      </x:c>
      <x:c r="AI65" s="40" t="str">
        <x:f>IF(OR(K65&lt;&gt;L65,M65&lt;&gt;TRUE,Y65&lt;&gt;TRUE,Z65&lt;&gt;TRUE),"冲突",IF(OR(D65="？",D65="？？？"),"分类冲突待确认",IF(N65&gt;1,"图标一致；具体ID不唯一","图标/名称/来源无已发现冲突")))</x:f>
        <x:v>图标一致；具体ID不唯一</x:v>
      </x:c>
    </x:row>
    <x:row r="66" ht="38" customHeight="1">
      <x:c r="A66" s="35" t="n">
        <x:v>65</x:v>
      </x:c>
      <x:c r="B66" s="35" t="str">
        <x:v>currency_wars_equipment_067</x:v>
      </x:c>
      <x:c r="C66" s="35" t="str">
        <x:v>热血沸腾拳</x:v>
      </x:c>
      <x:c r="D66" s="35" t="str">
        <x:v>进阶装备</x:v>
      </x:c>
      <x:c r="E66" s="35" t="str">
        <x:v>advanced</x:v>
      </x:c>
      <x:c r="F66" s="35" t="str">
        <x:v>是</x:v>
      </x:c>
      <x:c r="G66" s="35" t="str">
        <x:v>是</x:v>
      </x:c>
      <x:c r="H66" s="35" t="str"/>
      <x:c r="I66" s="35" t="str">
        <x:v>currency_wars_equipment_045；currency_wars_equipment_043</x:v>
      </x:c>
      <x:c r="J66" s="35" t="str">
        <x:v>assets/currency_wars_equipment_icons/currency_wars_equipment_067.png</x:v>
      </x:c>
      <x:c r="K66" s="35" t="str">
        <x:v>111a5d051a9c8ceea2486d22098c6f919130418e525d151f6098ce9fa1625389</x:v>
      </x:c>
      <x:c r="L66" s="35" t="str">
        <x:v>111a5d051a9c8ceea2486d22098c6f919130418e525d151f6098ce9fa1625389</x:v>
      </x:c>
      <x:c r="M66" s="36" t="b">
        <x:v>1</x:v>
      </x:c>
      <x:c r="N66" s="39" t="n">
        <x:f>COUNTIF($L$2:$L$158,L66)</x:f>
        <x:v>2</x:v>
      </x:c>
      <x:c r="O66" s="39" t="str">
        <x:v>067；106</x:v>
      </x:c>
      <x:c r="P66" s="39" t="str">
        <x:v>热血沸腾拳；热血沸腾拳•特权</x:v>
      </x:c>
      <x:c r="Q66" s="35" t="n">
        <x:v>32281</x:v>
      </x:c>
      <x:c r="R66" s="35" t="n">
        <x:v>128</x:v>
      </x:c>
      <x:c r="S66" s="35" t="n">
        <x:v>128</x:v>
      </x:c>
      <x:c r="T66" s="35" t="str">
        <x:v>https://patchwiki.biligame.com/images/sr/3/38/t7w5i6ofsl91u1vognn688cpmp6ubi3.png</x:v>
      </x:c>
      <x:c r="U66" s="35" t="str">
        <x:v>https://wiki.biligame.com/sr/%E7%83%AD%E8%A1%80%E6%B2%B8%E8%85%BE%E6%8B%B3</x:v>
      </x:c>
      <x:c r="V66" s="35" t="n">
        <x:v>99085</x:v>
      </x:c>
      <x:c r="W66" s="35" t="n">
        <x:v>200</x:v>
      </x:c>
      <x:c r="X66" s="35" t="str">
        <x:v>111a5d051a9c8ceea2486d22098c6f919130418e525d151f6098ce9fa1625389</x:v>
      </x:c>
      <x:c r="Y66" s="36" t="b">
        <x:v>1</x:v>
      </x:c>
      <x:c r="Z66" s="36" t="b">
        <x:v>1</x:v>
      </x:c>
      <x:c r="AA66" s="35" t="str">
        <x:v>HTTP 567（限流/反爬）</x:v>
      </x:c>
      <x:c r="AB66" s="35" t="str"/>
      <x:c r="AC66" s="35" t="str">
        <x:v>equipment-contact-04.png</x:v>
      </x:c>
      <x:c r="AD66" s="35" t="str">
        <x:v>第1行第5列</x:v>
      </x:c>
      <x:c r="AE66" s="35" t="str">
        <x:v>逐项可见；未见空白、破损、异常裁切或相邻错位</x:v>
      </x:c>
      <x:c r="AF66" s="35" t="str">
        <x:v>同图多ID；识别时必须保留CandidateIds/Unknown，不得强收敛</x:v>
      </x:c>
      <x:c r="AG66" s="35" t="str">
        <x:v>BWIKI oldid=99085+PatchWiki；米游社官方资料仅提供玩法或少量条目补充</x:v>
      </x:c>
      <x:c r="AH66" s="35" t="str">
        <x:v>仅凭图标无法区分本簇具体ID</x:v>
      </x:c>
      <x:c r="AI66" s="40" t="str">
        <x:f>IF(OR(K66&lt;&gt;L66,M66&lt;&gt;TRUE,Y66&lt;&gt;TRUE,Z66&lt;&gt;TRUE),"冲突",IF(OR(D66="？",D66="？？？"),"分类冲突待确认",IF(N66&gt;1,"图标一致；具体ID不唯一","图标/名称/来源无已发现冲突")))</x:f>
        <x:v>图标一致；具体ID不唯一</x:v>
      </x:c>
    </x:row>
    <x:row r="67" ht="38" customHeight="1">
      <x:c r="A67" s="35" t="n">
        <x:v>66</x:v>
      </x:c>
      <x:c r="B67" s="35" t="str">
        <x:v>currency_wars_equipment_068</x:v>
      </x:c>
      <x:c r="C67" s="35" t="str">
        <x:v>物质分解液</x:v>
      </x:c>
      <x:c r="D67" s="35" t="str">
        <x:v>进阶装备</x:v>
      </x:c>
      <x:c r="E67" s="35" t="str">
        <x:v>advanced</x:v>
      </x:c>
      <x:c r="F67" s="35" t="str">
        <x:v>是</x:v>
      </x:c>
      <x:c r="G67" s="35" t="str">
        <x:v>是</x:v>
      </x:c>
      <x:c r="H67" s="35" t="str"/>
      <x:c r="I67" s="35" t="str">
        <x:v>currency_wars_equipment_040；currency_wars_equipment_045</x:v>
      </x:c>
      <x:c r="J67" s="35" t="str">
        <x:v>assets/currency_wars_equipment_icons/currency_wars_equipment_068.png</x:v>
      </x:c>
      <x:c r="K67" s="35" t="str">
        <x:v>4204a0b84679223ecf29a6ca036e6aa95957cf6cd33512c64e55e6ae576dbb2e</x:v>
      </x:c>
      <x:c r="L67" s="35" t="str">
        <x:v>4204a0b84679223ecf29a6ca036e6aa95957cf6cd33512c64e55e6ae576dbb2e</x:v>
      </x:c>
      <x:c r="M67" s="36" t="b">
        <x:v>1</x:v>
      </x:c>
      <x:c r="N67" s="39" t="n">
        <x:f>COUNTIF($L$2:$L$158,L67)</x:f>
        <x:v>2</x:v>
      </x:c>
      <x:c r="O67" s="39" t="str">
        <x:v>068；107</x:v>
      </x:c>
      <x:c r="P67" s="39" t="str">
        <x:v>物质分解液；物质分解液•特权</x:v>
      </x:c>
      <x:c r="Q67" s="35" t="n">
        <x:v>25438</x:v>
      </x:c>
      <x:c r="R67" s="35" t="n">
        <x:v>128</x:v>
      </x:c>
      <x:c r="S67" s="35" t="n">
        <x:v>128</x:v>
      </x:c>
      <x:c r="T67" s="35" t="str">
        <x:v>https://patchwiki.biligame.com/images/sr/2/2e/owez3qwb6fk9kcaoslr3tz116fhqblr.png</x:v>
      </x:c>
      <x:c r="U67" s="35" t="str">
        <x:v>https://wiki.biligame.com/sr/%E7%89%A9%E8%B4%A8%E5%88%86%E8%A7%A3%E6%B6%B2</x:v>
      </x:c>
      <x:c r="V67" s="35" t="n">
        <x:v>99085</x:v>
      </x:c>
      <x:c r="W67" s="35" t="n">
        <x:v>200</x:v>
      </x:c>
      <x:c r="X67" s="35" t="str">
        <x:v>4204a0b84679223ecf29a6ca036e6aa95957cf6cd33512c64e55e6ae576dbb2e</x:v>
      </x:c>
      <x:c r="Y67" s="36" t="b">
        <x:v>1</x:v>
      </x:c>
      <x:c r="Z67" s="36" t="b">
        <x:v>1</x:v>
      </x:c>
      <x:c r="AA67" s="35" t="str">
        <x:v>HTTP 567（限流/反爬）</x:v>
      </x:c>
      <x:c r="AB67" s="35" t="str"/>
      <x:c r="AC67" s="35" t="str">
        <x:v>equipment-contact-04.png</x:v>
      </x:c>
      <x:c r="AD67" s="35" t="str">
        <x:v>第2行第1列</x:v>
      </x:c>
      <x:c r="AE67" s="35" t="str">
        <x:v>逐项可见；未见空白、破损、异常裁切或相邻错位</x:v>
      </x:c>
      <x:c r="AF67" s="35" t="str">
        <x:v>同图多ID；识别时必须保留CandidateIds/Unknown，不得强收敛</x:v>
      </x:c>
      <x:c r="AG67" s="35" t="str">
        <x:v>BWIKI oldid=99085+PatchWiki；米游社官方资料仅提供玩法或少量条目补充</x:v>
      </x:c>
      <x:c r="AH67" s="35" t="str">
        <x:v>仅凭图标无法区分本簇具体ID</x:v>
      </x:c>
      <x:c r="AI67" s="40" t="str">
        <x:f>IF(OR(K67&lt;&gt;L67,M67&lt;&gt;TRUE,Y67&lt;&gt;TRUE,Z67&lt;&gt;TRUE),"冲突",IF(OR(D67="？",D67="？？？"),"分类冲突待确认",IF(N67&gt;1,"图标一致；具体ID不唯一","图标/名称/来源无已发现冲突")))</x:f>
        <x:v>图标一致；具体ID不唯一</x:v>
      </x:c>
    </x:row>
    <x:row r="68" ht="38" customHeight="1">
      <x:c r="A68" s="35" t="n">
        <x:v>67</x:v>
      </x:c>
      <x:c r="B68" s="35" t="str">
        <x:v>currency_wars_equipment_069</x:v>
      </x:c>
      <x:c r="C68" s="35" t="str">
        <x:v>生命之环</x:v>
      </x:c>
      <x:c r="D68" s="35" t="str">
        <x:v>进阶装备</x:v>
      </x:c>
      <x:c r="E68" s="35" t="str">
        <x:v>advanced</x:v>
      </x:c>
      <x:c r="F68" s="35" t="str">
        <x:v>是</x:v>
      </x:c>
      <x:c r="G68" s="35" t="str">
        <x:v>是</x:v>
      </x:c>
      <x:c r="H68" s="35" t="str"/>
      <x:c r="I68" s="35" t="str">
        <x:v>currency_wars_equipment_045；currency_wars_equipment_045</x:v>
      </x:c>
      <x:c r="J68" s="35" t="str">
        <x:v>assets/currency_wars_equipment_icons/currency_wars_equipment_069.png</x:v>
      </x:c>
      <x:c r="K68" s="35" t="str">
        <x:v>f61a5944c98c2e3d9db314585345c0e673df145de7ce9ba27cea447c8d9d2220</x:v>
      </x:c>
      <x:c r="L68" s="35" t="str">
        <x:v>f61a5944c98c2e3d9db314585345c0e673df145de7ce9ba27cea447c8d9d2220</x:v>
      </x:c>
      <x:c r="M68" s="36" t="b">
        <x:v>1</x:v>
      </x:c>
      <x:c r="N68" s="39" t="n">
        <x:f>COUNTIF($L$2:$L$158,L68)</x:f>
        <x:v>2</x:v>
      </x:c>
      <x:c r="O68" s="39" t="str">
        <x:v>069；108</x:v>
      </x:c>
      <x:c r="P68" s="39" t="str">
        <x:v>生命之环；生命之环•特权</x:v>
      </x:c>
      <x:c r="Q68" s="35" t="n">
        <x:v>33094</x:v>
      </x:c>
      <x:c r="R68" s="35" t="n">
        <x:v>128</x:v>
      </x:c>
      <x:c r="S68" s="35" t="n">
        <x:v>128</x:v>
      </x:c>
      <x:c r="T68" s="35" t="str">
        <x:v>https://patchwiki.biligame.com/images/sr/a/a6/r6bi8e7h04qglgienze9g5nbz625m97.png</x:v>
      </x:c>
      <x:c r="U68" s="35" t="str">
        <x:v>https://wiki.biligame.com/sr/%E7%94%9F%E5%91%BD%E4%B9%8B%E7%8E%AF</x:v>
      </x:c>
      <x:c r="V68" s="35" t="n">
        <x:v>99085</x:v>
      </x:c>
      <x:c r="W68" s="35" t="n">
        <x:v>200</x:v>
      </x:c>
      <x:c r="X68" s="35" t="str">
        <x:v>f61a5944c98c2e3d9db314585345c0e673df145de7ce9ba27cea447c8d9d2220</x:v>
      </x:c>
      <x:c r="Y68" s="36" t="b">
        <x:v>1</x:v>
      </x:c>
      <x:c r="Z68" s="36" t="b">
        <x:v>1</x:v>
      </x:c>
      <x:c r="AA68" s="35" t="str">
        <x:v>HTTP 567（限流/反爬）</x:v>
      </x:c>
      <x:c r="AB68" s="35" t="str"/>
      <x:c r="AC68" s="35" t="str">
        <x:v>equipment-contact-04.png</x:v>
      </x:c>
      <x:c r="AD68" s="35" t="str">
        <x:v>第2行第2列</x:v>
      </x:c>
      <x:c r="AE68" s="35" t="str">
        <x:v>逐项可见；未见空白、破损、异常裁切或相邻错位</x:v>
      </x:c>
      <x:c r="AF68" s="35" t="str">
        <x:v>同图多ID；识别时必须保留CandidateIds/Unknown，不得强收敛</x:v>
      </x:c>
      <x:c r="AG68" s="35" t="str">
        <x:v>BWIKI oldid=99085+PatchWiki；米游社官方资料仅提供玩法或少量条目补充</x:v>
      </x:c>
      <x:c r="AH68" s="35" t="str">
        <x:v>仅凭图标无法区分本簇具体ID</x:v>
      </x:c>
      <x:c r="AI68" s="40" t="str">
        <x:f>IF(OR(K68&lt;&gt;L68,M68&lt;&gt;TRUE,Y68&lt;&gt;TRUE,Z68&lt;&gt;TRUE),"冲突",IF(OR(D68="？",D68="？？？"),"分类冲突待确认",IF(N68&gt;1,"图标一致；具体ID不唯一","图标/名称/来源无已发现冲突")))</x:f>
        <x:v>图标一致；具体ID不唯一</x:v>
      </x:c>
    </x:row>
    <x:row r="69" ht="38" customHeight="1">
      <x:c r="A69" s="35" t="n">
        <x:v>68</x:v>
      </x:c>
      <x:c r="B69" s="35" t="str">
        <x:v>currency_wars_equipment_070</x:v>
      </x:c>
      <x:c r="C69" s="35" t="str">
        <x:v>电光履</x:v>
      </x:c>
      <x:c r="D69" s="35" t="str">
        <x:v>进阶装备</x:v>
      </x:c>
      <x:c r="E69" s="35" t="str">
        <x:v>advanced</x:v>
      </x:c>
      <x:c r="F69" s="35" t="str">
        <x:v>是</x:v>
      </x:c>
      <x:c r="G69" s="35" t="str">
        <x:v>是</x:v>
      </x:c>
      <x:c r="H69" s="35" t="str"/>
      <x:c r="I69" s="35" t="str">
        <x:v>currency_wars_equipment_041；currency_wars_equipment_046</x:v>
      </x:c>
      <x:c r="J69" s="35" t="str">
        <x:v>assets/currency_wars_equipment_icons/currency_wars_equipment_070.png</x:v>
      </x:c>
      <x:c r="K69" s="35" t="str">
        <x:v>88a4334ec2c83711532325576281581f338b1b709b968407b0c90458cf2b63b8</x:v>
      </x:c>
      <x:c r="L69" s="35" t="str">
        <x:v>88a4334ec2c83711532325576281581f338b1b709b968407b0c90458cf2b63b8</x:v>
      </x:c>
      <x:c r="M69" s="36" t="b">
        <x:v>1</x:v>
      </x:c>
      <x:c r="N69" s="39" t="n">
        <x:f>COUNTIF($L$2:$L$158,L69)</x:f>
        <x:v>2</x:v>
      </x:c>
      <x:c r="O69" s="39" t="str">
        <x:v>070；109</x:v>
      </x:c>
      <x:c r="P69" s="39" t="str">
        <x:v>电光履；电光履•特权</x:v>
      </x:c>
      <x:c r="Q69" s="35" t="n">
        <x:v>29134</x:v>
      </x:c>
      <x:c r="R69" s="35" t="n">
        <x:v>128</x:v>
      </x:c>
      <x:c r="S69" s="35" t="n">
        <x:v>128</x:v>
      </x:c>
      <x:c r="T69" s="35" t="str">
        <x:v>https://patchwiki.biligame.com/images/sr/0/0c/kwytpntq59eppt02fspkrfkxg0zt8h8.png</x:v>
      </x:c>
      <x:c r="U69" s="35" t="str">
        <x:v>https://wiki.biligame.com/sr/%E7%94%B5%E5%85%89%E5%B1%A5</x:v>
      </x:c>
      <x:c r="V69" s="35" t="n">
        <x:v>99085</x:v>
      </x:c>
      <x:c r="W69" s="35" t="n">
        <x:v>200</x:v>
      </x:c>
      <x:c r="X69" s="35" t="str">
        <x:v>88a4334ec2c83711532325576281581f338b1b709b968407b0c90458cf2b63b8</x:v>
      </x:c>
      <x:c r="Y69" s="36" t="b">
        <x:v>1</x:v>
      </x:c>
      <x:c r="Z69" s="36" t="b">
        <x:v>1</x:v>
      </x:c>
      <x:c r="AA69" s="35" t="str">
        <x:v>HTTP 567（限流/反爬）</x:v>
      </x:c>
      <x:c r="AB69" s="35" t="str"/>
      <x:c r="AC69" s="35" t="str">
        <x:v>equipment-contact-04.png</x:v>
      </x:c>
      <x:c r="AD69" s="35" t="str">
        <x:v>第2行第3列</x:v>
      </x:c>
      <x:c r="AE69" s="35" t="str">
        <x:v>逐项可见；未见空白、破损、异常裁切或相邻错位</x:v>
      </x:c>
      <x:c r="AF69" s="35" t="str">
        <x:v>同图多ID；识别时必须保留CandidateIds/Unknown，不得强收敛</x:v>
      </x:c>
      <x:c r="AG69" s="35" t="str">
        <x:v>BWIKI oldid=99085+PatchWiki；米游社官方资料仅提供玩法或少量条目补充</x:v>
      </x:c>
      <x:c r="AH69" s="35" t="str">
        <x:v>仅凭图标无法区分本簇具体ID</x:v>
      </x:c>
      <x:c r="AI69" s="40" t="str">
        <x:f>IF(OR(K69&lt;&gt;L69,M69&lt;&gt;TRUE,Y69&lt;&gt;TRUE,Z69&lt;&gt;TRUE),"冲突",IF(OR(D69="？",D69="？？？"),"分类冲突待确认",IF(N69&gt;1,"图标一致；具体ID不唯一","图标/名称/来源无已发现冲突")))</x:f>
        <x:v>图标一致；具体ID不唯一</x:v>
      </x:c>
    </x:row>
    <x:row r="70" ht="38" customHeight="1">
      <x:c r="A70" s="35" t="n">
        <x:v>69</x:v>
      </x:c>
      <x:c r="B70" s="35" t="str">
        <x:v>currency_wars_equipment_071</x:v>
      </x:c>
      <x:c r="C70" s="35" t="str">
        <x:v>电磁弹射器</x:v>
      </x:c>
      <x:c r="D70" s="35" t="str">
        <x:v>进阶装备</x:v>
      </x:c>
      <x:c r="E70" s="35" t="str">
        <x:v>advanced</x:v>
      </x:c>
      <x:c r="F70" s="35" t="str">
        <x:v>是</x:v>
      </x:c>
      <x:c r="G70" s="35" t="str">
        <x:v>是</x:v>
      </x:c>
      <x:c r="H70" s="35" t="str"/>
      <x:c r="I70" s="35" t="str">
        <x:v>currency_wars_equipment_042；currency_wars_equipment_046</x:v>
      </x:c>
      <x:c r="J70" s="35" t="str">
        <x:v>assets/currency_wars_equipment_icons/currency_wars_equipment_071.png</x:v>
      </x:c>
      <x:c r="K70" s="35" t="str">
        <x:v>4a5f98d5703c2f8ec46dd348a41161178ef6976ea790711cc3bef4331708ec47</x:v>
      </x:c>
      <x:c r="L70" s="35" t="str">
        <x:v>4a5f98d5703c2f8ec46dd348a41161178ef6976ea790711cc3bef4331708ec47</x:v>
      </x:c>
      <x:c r="M70" s="36" t="b">
        <x:v>1</x:v>
      </x:c>
      <x:c r="N70" s="39" t="n">
        <x:f>COUNTIF($L$2:$L$158,L70)</x:f>
        <x:v>2</x:v>
      </x:c>
      <x:c r="O70" s="39" t="str">
        <x:v>071；110</x:v>
      </x:c>
      <x:c r="P70" s="39" t="str">
        <x:v>电磁弹射器；电磁弹射器•特权</x:v>
      </x:c>
      <x:c r="Q70" s="35" t="n">
        <x:v>32555</x:v>
      </x:c>
      <x:c r="R70" s="35" t="n">
        <x:v>128</x:v>
      </x:c>
      <x:c r="S70" s="35" t="n">
        <x:v>128</x:v>
      </x:c>
      <x:c r="T70" s="35" t="str">
        <x:v>https://patchwiki.biligame.com/images/sr/7/70/ok0fy6uy98drftzv20o7k5djfhbshnv.png</x:v>
      </x:c>
      <x:c r="U70" s="35" t="str">
        <x:v>https://wiki.biligame.com/sr/%E7%94%B5%E7%A3%81%E5%BC%B9%E5%B0%84%E5%99%A8</x:v>
      </x:c>
      <x:c r="V70" s="35" t="n">
        <x:v>99085</x:v>
      </x:c>
      <x:c r="W70" s="35" t="n">
        <x:v>200</x:v>
      </x:c>
      <x:c r="X70" s="35" t="str">
        <x:v>4a5f98d5703c2f8ec46dd348a41161178ef6976ea790711cc3bef4331708ec47</x:v>
      </x:c>
      <x:c r="Y70" s="36" t="b">
        <x:v>1</x:v>
      </x:c>
      <x:c r="Z70" s="36" t="b">
        <x:v>1</x:v>
      </x:c>
      <x:c r="AA70" s="35" t="str">
        <x:v>HTTP 567（限流/反爬）</x:v>
      </x:c>
      <x:c r="AB70" s="35" t="str"/>
      <x:c r="AC70" s="35" t="str">
        <x:v>equipment-contact-04.png</x:v>
      </x:c>
      <x:c r="AD70" s="35" t="str">
        <x:v>第2行第4列</x:v>
      </x:c>
      <x:c r="AE70" s="35" t="str">
        <x:v>逐项可见；未见空白、破损、异常裁切或相邻错位</x:v>
      </x:c>
      <x:c r="AF70" s="35" t="str">
        <x:v>同图多ID；识别时必须保留CandidateIds/Unknown，不得强收敛</x:v>
      </x:c>
      <x:c r="AG70" s="35" t="str">
        <x:v>BWIKI oldid=99085+PatchWiki；米游社官方资料仅提供玩法或少量条目补充</x:v>
      </x:c>
      <x:c r="AH70" s="35" t="str">
        <x:v>仅凭图标无法区分本簇具体ID</x:v>
      </x:c>
      <x:c r="AI70" s="40" t="str">
        <x:f>IF(OR(K70&lt;&gt;L70,M70&lt;&gt;TRUE,Y70&lt;&gt;TRUE,Z70&lt;&gt;TRUE),"冲突",IF(OR(D70="？",D70="？？？"),"分类冲突待确认",IF(N70&gt;1,"图标一致；具体ID不唯一","图标/名称/来源无已发现冲突")))</x:f>
        <x:v>图标一致；具体ID不唯一</x:v>
      </x:c>
    </x:row>
    <x:row r="71" ht="38" customHeight="1">
      <x:c r="A71" s="35" t="n">
        <x:v>70</x:v>
      </x:c>
      <x:c r="B71" s="35" t="str">
        <x:v>currency_wars_equipment_072</x:v>
      </x:c>
      <x:c r="C71" s="35" t="str">
        <x:v>痛觉阻断芯片</x:v>
      </x:c>
      <x:c r="D71" s="35" t="str">
        <x:v>进阶装备</x:v>
      </x:c>
      <x:c r="E71" s="35" t="str">
        <x:v>advanced</x:v>
      </x:c>
      <x:c r="F71" s="35" t="str">
        <x:v>是</x:v>
      </x:c>
      <x:c r="G71" s="35" t="str">
        <x:v>是</x:v>
      </x:c>
      <x:c r="H71" s="35" t="str"/>
      <x:c r="I71" s="35" t="str">
        <x:v>currency_wars_equipment_047；currency_wars_equipment_045</x:v>
      </x:c>
      <x:c r="J71" s="35" t="str">
        <x:v>assets/currency_wars_equipment_icons/currency_wars_equipment_072.png</x:v>
      </x:c>
      <x:c r="K71" s="35" t="str">
        <x:v>0e381740b644f074d8d57a640343a5197bba7c3469149f96c7d6bae8ea2d124b</x:v>
      </x:c>
      <x:c r="L71" s="35" t="str">
        <x:v>0e381740b644f074d8d57a640343a5197bba7c3469149f96c7d6bae8ea2d124b</x:v>
      </x:c>
      <x:c r="M71" s="36" t="b">
        <x:v>1</x:v>
      </x:c>
      <x:c r="N71" s="39" t="n">
        <x:f>COUNTIF($L$2:$L$158,L71)</x:f>
        <x:v>2</x:v>
      </x:c>
      <x:c r="O71" s="39" t="str">
        <x:v>072；111</x:v>
      </x:c>
      <x:c r="P71" s="39" t="str">
        <x:v>痛觉阻断芯片；痛觉阻断芯片•特权</x:v>
      </x:c>
      <x:c r="Q71" s="35" t="n">
        <x:v>29438</x:v>
      </x:c>
      <x:c r="R71" s="35" t="n">
        <x:v>128</x:v>
      </x:c>
      <x:c r="S71" s="35" t="n">
        <x:v>128</x:v>
      </x:c>
      <x:c r="T71" s="35" t="str">
        <x:v>https://patchwiki.biligame.com/images/sr/7/71/6549yh6pqolczbqqxp02vqdjmzfs7ke.png</x:v>
      </x:c>
      <x:c r="U71" s="35" t="str">
        <x:v>https://wiki.biligame.com/sr/%E7%97%9B%E8%A7%89%E9%98%BB%E6%96%AD%E8%8A%AF%E7%89%87</x:v>
      </x:c>
      <x:c r="V71" s="35" t="n">
        <x:v>99085</x:v>
      </x:c>
      <x:c r="W71" s="35" t="n">
        <x:v>200</x:v>
      </x:c>
      <x:c r="X71" s="35" t="str">
        <x:v>0e381740b644f074d8d57a640343a5197bba7c3469149f96c7d6bae8ea2d124b</x:v>
      </x:c>
      <x:c r="Y71" s="36" t="b">
        <x:v>1</x:v>
      </x:c>
      <x:c r="Z71" s="36" t="b">
        <x:v>1</x:v>
      </x:c>
      <x:c r="AA71" s="35" t="str">
        <x:v>HTTP 567（限流/反爬）</x:v>
      </x:c>
      <x:c r="AB71" s="35" t="str"/>
      <x:c r="AC71" s="35" t="str">
        <x:v>equipment-contact-04.png</x:v>
      </x:c>
      <x:c r="AD71" s="35" t="str">
        <x:v>第2行第5列</x:v>
      </x:c>
      <x:c r="AE71" s="35" t="str">
        <x:v>逐项可见；未见空白、破损、异常裁切或相邻错位</x:v>
      </x:c>
      <x:c r="AF71" s="35" t="str">
        <x:v>同图多ID；识别时必须保留CandidateIds/Unknown，不得强收敛</x:v>
      </x:c>
      <x:c r="AG71" s="35" t="str">
        <x:v>BWIKI oldid=99085+PatchWiki；米游社官方资料仅提供玩法或少量条目补充</x:v>
      </x:c>
      <x:c r="AH71" s="35" t="str">
        <x:v>仅凭图标无法区分本簇具体ID</x:v>
      </x:c>
      <x:c r="AI71" s="40" t="str">
        <x:f>IF(OR(K71&lt;&gt;L71,M71&lt;&gt;TRUE,Y71&lt;&gt;TRUE,Z71&lt;&gt;TRUE),"冲突",IF(OR(D71="？",D71="？？？"),"分类冲突待确认",IF(N71&gt;1,"图标一致；具体ID不唯一","图标/名称/来源无已发现冲突")))</x:f>
        <x:v>图标一致；具体ID不唯一</x:v>
      </x:c>
    </x:row>
    <x:row r="72" ht="38" customHeight="1">
      <x:c r="A72" s="35" t="n">
        <x:v>71</x:v>
      </x:c>
      <x:c r="B72" s="35" t="str">
        <x:v>currency_wars_equipment_073</x:v>
      </x:c>
      <x:c r="C72" s="35" t="str">
        <x:v>碎星斩舰刀</x:v>
      </x:c>
      <x:c r="D72" s="35" t="str">
        <x:v>进阶装备</x:v>
      </x:c>
      <x:c r="E72" s="35" t="str">
        <x:v>advanced</x:v>
      </x:c>
      <x:c r="F72" s="35" t="str">
        <x:v>是</x:v>
      </x:c>
      <x:c r="G72" s="35" t="str">
        <x:v>是</x:v>
      </x:c>
      <x:c r="H72" s="35" t="str"/>
      <x:c r="I72" s="35" t="str">
        <x:v>currency_wars_equipment_044；currency_wars_equipment_044</x:v>
      </x:c>
      <x:c r="J72" s="35" t="str">
        <x:v>assets/currency_wars_equipment_icons/currency_wars_equipment_073.png</x:v>
      </x:c>
      <x:c r="K72" s="35" t="str">
        <x:v>bc53b2f878f643ce96519b04075f5e3d9301249e8c703dbeafc2c83098710fea</x:v>
      </x:c>
      <x:c r="L72" s="35" t="str">
        <x:v>bc53b2f878f643ce96519b04075f5e3d9301249e8c703dbeafc2c83098710fea</x:v>
      </x:c>
      <x:c r="M72" s="36" t="b">
        <x:v>1</x:v>
      </x:c>
      <x:c r="N72" s="39" t="n">
        <x:f>COUNTIF($L$2:$L$158,L72)</x:f>
        <x:v>2</x:v>
      </x:c>
      <x:c r="O72" s="39" t="str">
        <x:v>073；112</x:v>
      </x:c>
      <x:c r="P72" s="39" t="str">
        <x:v>碎星斩舰刀；碎星斩舰刀•特权</x:v>
      </x:c>
      <x:c r="Q72" s="35" t="n">
        <x:v>31837</x:v>
      </x:c>
      <x:c r="R72" s="35" t="n">
        <x:v>128</x:v>
      </x:c>
      <x:c r="S72" s="35" t="n">
        <x:v>128</x:v>
      </x:c>
      <x:c r="T72" s="35" t="str">
        <x:v>https://patchwiki.biligame.com/images/sr/1/11/4tp5deflxs90qowulzea1284u7y5xj7.png</x:v>
      </x:c>
      <x:c r="U72" s="35" t="str">
        <x:v>https://wiki.biligame.com/sr/%E7%A2%8E%E6%98%9F%E6%96%A9%E8%88%B0%E5%88%80</x:v>
      </x:c>
      <x:c r="V72" s="35" t="n">
        <x:v>99085</x:v>
      </x:c>
      <x:c r="W72" s="35" t="n">
        <x:v>200</x:v>
      </x:c>
      <x:c r="X72" s="35" t="str">
        <x:v>bc53b2f878f643ce96519b04075f5e3d9301249e8c703dbeafc2c83098710fea</x:v>
      </x:c>
      <x:c r="Y72" s="36" t="b">
        <x:v>1</x:v>
      </x:c>
      <x:c r="Z72" s="36" t="b">
        <x:v>1</x:v>
      </x:c>
      <x:c r="AA72" s="35" t="str">
        <x:v>HTTP 567（限流/反爬）</x:v>
      </x:c>
      <x:c r="AB72" s="35" t="str"/>
      <x:c r="AC72" s="35" t="str">
        <x:v>equipment-contact-04.png</x:v>
      </x:c>
      <x:c r="AD72" s="35" t="str">
        <x:v>第3行第1列</x:v>
      </x:c>
      <x:c r="AE72" s="35" t="str">
        <x:v>逐项可见；未见空白、破损、异常裁切或相邻错位</x:v>
      </x:c>
      <x:c r="AF72" s="35" t="str">
        <x:v>同图多ID；识别时必须保留CandidateIds/Unknown，不得强收敛</x:v>
      </x:c>
      <x:c r="AG72" s="35" t="str">
        <x:v>BWIKI oldid=99085+PatchWiki；米游社官方资料仅提供玩法或少量条目补充</x:v>
      </x:c>
      <x:c r="AH72" s="35" t="str">
        <x:v>仅凭图标无法区分本簇具体ID</x:v>
      </x:c>
      <x:c r="AI72" s="40" t="str">
        <x:f>IF(OR(K72&lt;&gt;L72,M72&lt;&gt;TRUE,Y72&lt;&gt;TRUE,Z72&lt;&gt;TRUE),"冲突",IF(OR(D72="？",D72="？？？"),"分类冲突待确认",IF(N72&gt;1,"图标一致；具体ID不唯一","图标/名称/来源无已发现冲突")))</x:f>
        <x:v>图标一致；具体ID不唯一</x:v>
      </x:c>
    </x:row>
    <x:row r="73" ht="38" customHeight="1">
      <x:c r="A73" s="35" t="n">
        <x:v>72</x:v>
      </x:c>
      <x:c r="B73" s="35" t="str">
        <x:v>currency_wars_equipment_074</x:v>
      </x:c>
      <x:c r="C73" s="35" t="str">
        <x:v>绝对热量</x:v>
      </x:c>
      <x:c r="D73" s="35" t="str">
        <x:v>进阶装备</x:v>
      </x:c>
      <x:c r="E73" s="35" t="str">
        <x:v>advanced</x:v>
      </x:c>
      <x:c r="F73" s="35" t="str">
        <x:v>是</x:v>
      </x:c>
      <x:c r="G73" s="35" t="str">
        <x:v>是</x:v>
      </x:c>
      <x:c r="H73" s="35" t="str"/>
      <x:c r="I73" s="35" t="str">
        <x:v>currency_wars_equipment_041；currency_wars_equipment_045</x:v>
      </x:c>
      <x:c r="J73" s="35" t="str">
        <x:v>assets/currency_wars_equipment_icons/currency_wars_equipment_074.png</x:v>
      </x:c>
      <x:c r="K73" s="35" t="str">
        <x:v>b7715ddb5c9dea4d24897d8f80a1c790c272ce6cbfa1ab336a6078c379b610d2</x:v>
      </x:c>
      <x:c r="L73" s="35" t="str">
        <x:v>b7715ddb5c9dea4d24897d8f80a1c790c272ce6cbfa1ab336a6078c379b610d2</x:v>
      </x:c>
      <x:c r="M73" s="36" t="b">
        <x:v>1</x:v>
      </x:c>
      <x:c r="N73" s="39" t="n">
        <x:f>COUNTIF($L$2:$L$158,L73)</x:f>
        <x:v>2</x:v>
      </x:c>
      <x:c r="O73" s="39" t="str">
        <x:v>074；113</x:v>
      </x:c>
      <x:c r="P73" s="39" t="str">
        <x:v>绝对热量；绝对热量•特权</x:v>
      </x:c>
      <x:c r="Q73" s="35" t="n">
        <x:v>30024</x:v>
      </x:c>
      <x:c r="R73" s="35" t="n">
        <x:v>128</x:v>
      </x:c>
      <x:c r="S73" s="35" t="n">
        <x:v>128</x:v>
      </x:c>
      <x:c r="T73" s="35" t="str">
        <x:v>https://patchwiki.biligame.com/images/sr/5/58/44folvfa971o8gov65thbnxgum3u1f2.png</x:v>
      </x:c>
      <x:c r="U73" s="35" t="str">
        <x:v>https://wiki.biligame.com/sr/%E7%BB%9D%E5%AF%B9%E7%83%AD%E9%87%8F</x:v>
      </x:c>
      <x:c r="V73" s="35" t="n">
        <x:v>99085</x:v>
      </x:c>
      <x:c r="W73" s="35" t="n">
        <x:v>200</x:v>
      </x:c>
      <x:c r="X73" s="35" t="str">
        <x:v>b7715ddb5c9dea4d24897d8f80a1c790c272ce6cbfa1ab336a6078c379b610d2</x:v>
      </x:c>
      <x:c r="Y73" s="36" t="b">
        <x:v>1</x:v>
      </x:c>
      <x:c r="Z73" s="36" t="b">
        <x:v>1</x:v>
      </x:c>
      <x:c r="AA73" s="35" t="str">
        <x:v>HTTP 567（限流/反爬）</x:v>
      </x:c>
      <x:c r="AB73" s="35" t="str"/>
      <x:c r="AC73" s="35" t="str">
        <x:v>equipment-contact-04.png</x:v>
      </x:c>
      <x:c r="AD73" s="35" t="str">
        <x:v>第3行第2列</x:v>
      </x:c>
      <x:c r="AE73" s="35" t="str">
        <x:v>逐项可见；未见空白、破损、异常裁切或相邻错位</x:v>
      </x:c>
      <x:c r="AF73" s="35" t="str">
        <x:v>同图多ID；识别时必须保留CandidateIds/Unknown，不得强收敛</x:v>
      </x:c>
      <x:c r="AG73" s="35" t="str">
        <x:v>BWIKI oldid=99085+PatchWiki；米游社官方资料仅提供玩法或少量条目补充</x:v>
      </x:c>
      <x:c r="AH73" s="35" t="str">
        <x:v>仅凭图标无法区分本簇具体ID</x:v>
      </x:c>
      <x:c r="AI73" s="40" t="str">
        <x:f>IF(OR(K73&lt;&gt;L73,M73&lt;&gt;TRUE,Y73&lt;&gt;TRUE,Z73&lt;&gt;TRUE),"冲突",IF(OR(D73="？",D73="？？？"),"分类冲突待确认",IF(N73&gt;1,"图标一致；具体ID不唯一","图标/名称/来源无已发现冲突")))</x:f>
        <x:v>图标一致；具体ID不唯一</x:v>
      </x:c>
    </x:row>
    <x:row r="74" ht="38" customHeight="1">
      <x:c r="A74" s="35" t="n">
        <x:v>73</x:v>
      </x:c>
      <x:c r="B74" s="35" t="str">
        <x:v>currency_wars_equipment_075</x:v>
      </x:c>
      <x:c r="C74" s="35" t="str">
        <x:v>胜利之旗</x:v>
      </x:c>
      <x:c r="D74" s="35" t="str">
        <x:v>进阶装备</x:v>
      </x:c>
      <x:c r="E74" s="35" t="str">
        <x:v>advanced</x:v>
      </x:c>
      <x:c r="F74" s="35" t="str">
        <x:v>是</x:v>
      </x:c>
      <x:c r="G74" s="35" t="str">
        <x:v>是</x:v>
      </x:c>
      <x:c r="H74" s="35" t="str"/>
      <x:c r="I74" s="35" t="str">
        <x:v>currency_wars_equipment_040；currency_wars_equipment_043</x:v>
      </x:c>
      <x:c r="J74" s="35" t="str">
        <x:v>assets/currency_wars_equipment_icons/currency_wars_equipment_075.png</x:v>
      </x:c>
      <x:c r="K74" s="35" t="str">
        <x:v>a7992e1a9bc95462f233d13ad4619571c80b69e62ddca7f14275f4abd006ea90</x:v>
      </x:c>
      <x:c r="L74" s="35" t="str">
        <x:v>a7992e1a9bc95462f233d13ad4619571c80b69e62ddca7f14275f4abd006ea90</x:v>
      </x:c>
      <x:c r="M74" s="36" t="b">
        <x:v>1</x:v>
      </x:c>
      <x:c r="N74" s="39" t="n">
        <x:f>COUNTIF($L$2:$L$158,L74)</x:f>
        <x:v>2</x:v>
      </x:c>
      <x:c r="O74" s="39" t="str">
        <x:v>075；114</x:v>
      </x:c>
      <x:c r="P74" s="39" t="str">
        <x:v>胜利之旗；胜利之旗•特权</x:v>
      </x:c>
      <x:c r="Q74" s="35" t="n">
        <x:v>25775</x:v>
      </x:c>
      <x:c r="R74" s="35" t="n">
        <x:v>128</x:v>
      </x:c>
      <x:c r="S74" s="35" t="n">
        <x:v>128</x:v>
      </x:c>
      <x:c r="T74" s="35" t="str">
        <x:v>https://patchwiki.biligame.com/images/sr/3/31/535v3d7kzwbgfxudq0forup9v3chxok.png</x:v>
      </x:c>
      <x:c r="U74" s="35" t="str">
        <x:v>https://wiki.biligame.com/sr/%E8%83%9C%E5%88%A9%E4%B9%8B%E6%97%97</x:v>
      </x:c>
      <x:c r="V74" s="35" t="n">
        <x:v>99085</x:v>
      </x:c>
      <x:c r="W74" s="35" t="n">
        <x:v>200</x:v>
      </x:c>
      <x:c r="X74" s="35" t="str">
        <x:v>a7992e1a9bc95462f233d13ad4619571c80b69e62ddca7f14275f4abd006ea90</x:v>
      </x:c>
      <x:c r="Y74" s="36" t="b">
        <x:v>1</x:v>
      </x:c>
      <x:c r="Z74" s="36" t="b">
        <x:v>1</x:v>
      </x:c>
      <x:c r="AA74" s="35" t="str">
        <x:v>HTTP 567（限流/反爬）</x:v>
      </x:c>
      <x:c r="AB74" s="35" t="str"/>
      <x:c r="AC74" s="35" t="str">
        <x:v>equipment-contact-04.png</x:v>
      </x:c>
      <x:c r="AD74" s="35" t="str">
        <x:v>第3行第3列</x:v>
      </x:c>
      <x:c r="AE74" s="35" t="str">
        <x:v>逐项可见；未见空白、破损、异常裁切或相邻错位</x:v>
      </x:c>
      <x:c r="AF74" s="35" t="str">
        <x:v>同图多ID；识别时必须保留CandidateIds/Unknown，不得强收敛</x:v>
      </x:c>
      <x:c r="AG74" s="35" t="str">
        <x:v>BWIKI oldid=99085+PatchWiki；米游社官方资料仅提供玩法或少量条目补充</x:v>
      </x:c>
      <x:c r="AH74" s="35" t="str">
        <x:v>仅凭图标无法区分本簇具体ID</x:v>
      </x:c>
      <x:c r="AI74" s="40" t="str">
        <x:f>IF(OR(K74&lt;&gt;L74,M74&lt;&gt;TRUE,Y74&lt;&gt;TRUE,Z74&lt;&gt;TRUE),"冲突",IF(OR(D74="？",D74="？？？"),"分类冲突待确认",IF(N74&gt;1,"图标一致；具体ID不唯一","图标/名称/来源无已发现冲突")))</x:f>
        <x:v>图标一致；具体ID不唯一</x:v>
      </x:c>
    </x:row>
    <x:row r="75" ht="38" customHeight="1">
      <x:c r="A75" s="35" t="n">
        <x:v>74</x:v>
      </x:c>
      <x:c r="B75" s="35" t="str">
        <x:v>currency_wars_equipment_076</x:v>
      </x:c>
      <x:c r="C75" s="35" t="str">
        <x:v>自适应外骨骼</x:v>
      </x:c>
      <x:c r="D75" s="35" t="str">
        <x:v>进阶装备</x:v>
      </x:c>
      <x:c r="E75" s="35" t="str">
        <x:v>advanced</x:v>
      </x:c>
      <x:c r="F75" s="35" t="str">
        <x:v>是</x:v>
      </x:c>
      <x:c r="G75" s="35" t="str">
        <x:v>是</x:v>
      </x:c>
      <x:c r="H75" s="35" t="str"/>
      <x:c r="I75" s="35" t="str">
        <x:v>currency_wars_equipment_047；currency_wars_equipment_042</x:v>
      </x:c>
      <x:c r="J75" s="35" t="str">
        <x:v>assets/currency_wars_equipment_icons/currency_wars_equipment_076.png</x:v>
      </x:c>
      <x:c r="K75" s="35" t="str">
        <x:v>4f0536a5df57dbb1fd94fa4688a2da232f7e20347f9810ad0d3633404917eaac</x:v>
      </x:c>
      <x:c r="L75" s="35" t="str">
        <x:v>4f0536a5df57dbb1fd94fa4688a2da232f7e20347f9810ad0d3633404917eaac</x:v>
      </x:c>
      <x:c r="M75" s="36" t="b">
        <x:v>1</x:v>
      </x:c>
      <x:c r="N75" s="39" t="n">
        <x:f>COUNTIF($L$2:$L$158,L75)</x:f>
        <x:v>2</x:v>
      </x:c>
      <x:c r="O75" s="39" t="str">
        <x:v>076；115</x:v>
      </x:c>
      <x:c r="P75" s="39" t="str">
        <x:v>自适应外骨骼；自适应外骨骼•特权</x:v>
      </x:c>
      <x:c r="Q75" s="35" t="n">
        <x:v>34365</x:v>
      </x:c>
      <x:c r="R75" s="35" t="n">
        <x:v>128</x:v>
      </x:c>
      <x:c r="S75" s="35" t="n">
        <x:v>128</x:v>
      </x:c>
      <x:c r="T75" s="35" t="str">
        <x:v>https://patchwiki.biligame.com/images/sr/e/e7/es524rclnsrht795b56rnt1nfxkvjln.png</x:v>
      </x:c>
      <x:c r="U75" s="35" t="str">
        <x:v>https://wiki.biligame.com/sr/%E8%87%AA%E9%80%82%E5%BA%94%E5%A4%96%E9%AA%A8%E9%AA%BC</x:v>
      </x:c>
      <x:c r="V75" s="35" t="n">
        <x:v>99085</x:v>
      </x:c>
      <x:c r="W75" s="35" t="n">
        <x:v>200</x:v>
      </x:c>
      <x:c r="X75" s="35" t="str">
        <x:v>4f0536a5df57dbb1fd94fa4688a2da232f7e20347f9810ad0d3633404917eaac</x:v>
      </x:c>
      <x:c r="Y75" s="36" t="b">
        <x:v>1</x:v>
      </x:c>
      <x:c r="Z75" s="36" t="b">
        <x:v>1</x:v>
      </x:c>
      <x:c r="AA75" s="35" t="str">
        <x:v>HTTP 567（限流/反爬）</x:v>
      </x:c>
      <x:c r="AB75" s="35" t="str"/>
      <x:c r="AC75" s="35" t="str">
        <x:v>equipment-contact-04.png</x:v>
      </x:c>
      <x:c r="AD75" s="35" t="str">
        <x:v>第3行第4列</x:v>
      </x:c>
      <x:c r="AE75" s="35" t="str">
        <x:v>逐项可见；未见空白、破损、异常裁切或相邻错位</x:v>
      </x:c>
      <x:c r="AF75" s="35" t="str">
        <x:v>同图多ID；识别时必须保留CandidateIds/Unknown，不得强收敛</x:v>
      </x:c>
      <x:c r="AG75" s="35" t="str">
        <x:v>BWIKI oldid=99085+PatchWiki；米游社官方资料仅提供玩法或少量条目补充</x:v>
      </x:c>
      <x:c r="AH75" s="35" t="str">
        <x:v>仅凭图标无法区分本簇具体ID</x:v>
      </x:c>
      <x:c r="AI75" s="40" t="str">
        <x:f>IF(OR(K75&lt;&gt;L75,M75&lt;&gt;TRUE,Y75&lt;&gt;TRUE,Z75&lt;&gt;TRUE),"冲突",IF(OR(D75="？",D75="？？？"),"分类冲突待确认",IF(N75&gt;1,"图标一致；具体ID不唯一","图标/名称/来源无已发现冲突")))</x:f>
        <x:v>图标一致；具体ID不唯一</x:v>
      </x:c>
    </x:row>
    <x:row r="76" ht="38" customHeight="1">
      <x:c r="A76" s="35" t="n">
        <x:v>75</x:v>
      </x:c>
      <x:c r="B76" s="35" t="str">
        <x:v>currency_wars_equipment_077</x:v>
      </x:c>
      <x:c r="C76" s="35" t="str">
        <x:v>蓄能帆</x:v>
      </x:c>
      <x:c r="D76" s="35" t="str">
        <x:v>进阶装备</x:v>
      </x:c>
      <x:c r="E76" s="35" t="str">
        <x:v>advanced</x:v>
      </x:c>
      <x:c r="F76" s="35" t="str">
        <x:v>是</x:v>
      </x:c>
      <x:c r="G76" s="35" t="str">
        <x:v>是</x:v>
      </x:c>
      <x:c r="H76" s="35" t="str"/>
      <x:c r="I76" s="35" t="str">
        <x:v>currency_wars_equipment_041；currency_wars_equipment_042</x:v>
      </x:c>
      <x:c r="J76" s="35" t="str">
        <x:v>assets/currency_wars_equipment_icons/currency_wars_equipment_077.png</x:v>
      </x:c>
      <x:c r="K76" s="35" t="str">
        <x:v>33121ab041df3a0573fb638f4687c2dabd116e0ba6f4ae08d6a0839d25affe9c</x:v>
      </x:c>
      <x:c r="L76" s="35" t="str">
        <x:v>33121ab041df3a0573fb638f4687c2dabd116e0ba6f4ae08d6a0839d25affe9c</x:v>
      </x:c>
      <x:c r="M76" s="36" t="b">
        <x:v>1</x:v>
      </x:c>
      <x:c r="N76" s="39" t="n">
        <x:f>COUNTIF($L$2:$L$158,L76)</x:f>
        <x:v>2</x:v>
      </x:c>
      <x:c r="O76" s="39" t="str">
        <x:v>077；116</x:v>
      </x:c>
      <x:c r="P76" s="39" t="str">
        <x:v>蓄能帆；蓄能帆•特权</x:v>
      </x:c>
      <x:c r="Q76" s="35" t="n">
        <x:v>34741</x:v>
      </x:c>
      <x:c r="R76" s="35" t="n">
        <x:v>128</x:v>
      </x:c>
      <x:c r="S76" s="35" t="n">
        <x:v>128</x:v>
      </x:c>
      <x:c r="T76" s="35" t="str">
        <x:v>https://patchwiki.biligame.com/images/sr/3/31/50olq8xte3l0aeuagqh7l3gcu0hmjm6.png</x:v>
      </x:c>
      <x:c r="U76" s="35" t="str">
        <x:v>https://wiki.biligame.com/sr/%E8%93%84%E8%83%BD%E5%B8%86</x:v>
      </x:c>
      <x:c r="V76" s="35" t="n">
        <x:v>99085</x:v>
      </x:c>
      <x:c r="W76" s="35" t="n">
        <x:v>200</x:v>
      </x:c>
      <x:c r="X76" s="35" t="str">
        <x:v>33121ab041df3a0573fb638f4687c2dabd116e0ba6f4ae08d6a0839d25affe9c</x:v>
      </x:c>
      <x:c r="Y76" s="36" t="b">
        <x:v>1</x:v>
      </x:c>
      <x:c r="Z76" s="36" t="b">
        <x:v>1</x:v>
      </x:c>
      <x:c r="AA76" s="35" t="str">
        <x:v>HTTP 567（限流/反爬）</x:v>
      </x:c>
      <x:c r="AB76" s="35" t="str"/>
      <x:c r="AC76" s="35" t="str">
        <x:v>equipment-contact-04.png</x:v>
      </x:c>
      <x:c r="AD76" s="35" t="str">
        <x:v>第3行第5列</x:v>
      </x:c>
      <x:c r="AE76" s="35" t="str">
        <x:v>逐项可见；未见空白、破损、异常裁切或相邻错位</x:v>
      </x:c>
      <x:c r="AF76" s="35" t="str">
        <x:v>同图多ID；识别时必须保留CandidateIds/Unknown，不得强收敛</x:v>
      </x:c>
      <x:c r="AG76" s="35" t="str">
        <x:v>BWIKI oldid=99085+PatchWiki；米游社官方资料仅提供玩法或少量条目补充</x:v>
      </x:c>
      <x:c r="AH76" s="35" t="str">
        <x:v>仅凭图标无法区分本簇具体ID</x:v>
      </x:c>
      <x:c r="AI76" s="40" t="str">
        <x:f>IF(OR(K76&lt;&gt;L76,M76&lt;&gt;TRUE,Y76&lt;&gt;TRUE,Z76&lt;&gt;TRUE),"冲突",IF(OR(D76="？",D76="？？？"),"分类冲突待确认",IF(N76&gt;1,"图标一致；具体ID不唯一","图标/名称/来源无已发现冲突")))</x:f>
        <x:v>图标一致；具体ID不唯一</x:v>
      </x:c>
    </x:row>
    <x:row r="77" ht="38" customHeight="1">
      <x:c r="A77" s="35" t="n">
        <x:v>76</x:v>
      </x:c>
      <x:c r="B77" s="35" t="str">
        <x:v>currency_wars_equipment_078</x:v>
      </x:c>
      <x:c r="C77" s="35" t="str">
        <x:v>虫洞掘进钻头</x:v>
      </x:c>
      <x:c r="D77" s="35" t="str">
        <x:v>进阶装备</x:v>
      </x:c>
      <x:c r="E77" s="35" t="str">
        <x:v>advanced</x:v>
      </x:c>
      <x:c r="F77" s="35" t="str">
        <x:v>是</x:v>
      </x:c>
      <x:c r="G77" s="35" t="str">
        <x:v>是</x:v>
      </x:c>
      <x:c r="H77" s="35" t="str"/>
      <x:c r="I77" s="35" t="str">
        <x:v>currency_wars_equipment_040；currency_wars_equipment_040</x:v>
      </x:c>
      <x:c r="J77" s="35" t="str">
        <x:v>assets/currency_wars_equipment_icons/currency_wars_equipment_078.png</x:v>
      </x:c>
      <x:c r="K77" s="35" t="str">
        <x:v>5468037f10a03db79db0ff7fd5c64de648cc4a5e9459279826d25a2e9d083302</x:v>
      </x:c>
      <x:c r="L77" s="35" t="str">
        <x:v>5468037f10a03db79db0ff7fd5c64de648cc4a5e9459279826d25a2e9d083302</x:v>
      </x:c>
      <x:c r="M77" s="36" t="b">
        <x:v>1</x:v>
      </x:c>
      <x:c r="N77" s="39" t="n">
        <x:f>COUNTIF($L$2:$L$158,L77)</x:f>
        <x:v>2</x:v>
      </x:c>
      <x:c r="O77" s="39" t="str">
        <x:v>078；117</x:v>
      </x:c>
      <x:c r="P77" s="39" t="str">
        <x:v>虫洞掘进钻头；虫洞掘进钻头•特权</x:v>
      </x:c>
      <x:c r="Q77" s="35" t="n">
        <x:v>32726</x:v>
      </x:c>
      <x:c r="R77" s="35" t="n">
        <x:v>128</x:v>
      </x:c>
      <x:c r="S77" s="35" t="n">
        <x:v>128</x:v>
      </x:c>
      <x:c r="T77" s="35" t="str">
        <x:v>https://patchwiki.biligame.com/images/sr/5/5d/7alriyktsxdl43fuoc5z3hkqog26m5l.png</x:v>
      </x:c>
      <x:c r="U77" s="35" t="str">
        <x:v>https://wiki.biligame.com/sr/%E8%99%AB%E6%B4%9E%E6%8E%98%E8%BF%9B%E9%92%BB%E5%A4%B4</x:v>
      </x:c>
      <x:c r="V77" s="35" t="n">
        <x:v>99085</x:v>
      </x:c>
      <x:c r="W77" s="35" t="n">
        <x:v>200</x:v>
      </x:c>
      <x:c r="X77" s="35" t="str">
        <x:v>5468037f10a03db79db0ff7fd5c64de648cc4a5e9459279826d25a2e9d083302</x:v>
      </x:c>
      <x:c r="Y77" s="36" t="b">
        <x:v>1</x:v>
      </x:c>
      <x:c r="Z77" s="36" t="b">
        <x:v>1</x:v>
      </x:c>
      <x:c r="AA77" s="35" t="str">
        <x:v>HTTP 200 反爬占位页</x:v>
      </x:c>
      <x:c r="AB77" s="35" t="str"/>
      <x:c r="AC77" s="35" t="str">
        <x:v>equipment-contact-04.png</x:v>
      </x:c>
      <x:c r="AD77" s="35" t="str">
        <x:v>第4行第1列</x:v>
      </x:c>
      <x:c r="AE77" s="35" t="str">
        <x:v>逐项可见；未见空白、破损、异常裁切或相邻错位</x:v>
      </x:c>
      <x:c r="AF77" s="35" t="str">
        <x:v>同图多ID；识别时必须保留CandidateIds/Unknown，不得强收敛</x:v>
      </x:c>
      <x:c r="AG77" s="35" t="str">
        <x:v>BWIKI oldid=99085+PatchWiki；米游社官方资料仅提供玩法或少量条目补充</x:v>
      </x:c>
      <x:c r="AH77" s="35" t="str">
        <x:v>仅凭图标无法区分本簇具体ID</x:v>
      </x:c>
      <x:c r="AI77" s="40" t="str">
        <x:f>IF(OR(K77&lt;&gt;L77,M77&lt;&gt;TRUE,Y77&lt;&gt;TRUE,Z77&lt;&gt;TRUE),"冲突",IF(OR(D77="？",D77="？？？"),"分类冲突待确认",IF(N77&gt;1,"图标一致；具体ID不唯一","图标/名称/来源无已发现冲突")))</x:f>
        <x:v>图标一致；具体ID不唯一</x:v>
      </x:c>
    </x:row>
    <x:row r="78" ht="38" customHeight="1">
      <x:c r="A78" s="35" t="n">
        <x:v>77</x:v>
      </x:c>
      <x:c r="B78" s="35" t="str">
        <x:v>currency_wars_equipment_079</x:v>
      </x:c>
      <x:c r="C78" s="35" t="str">
        <x:v>行星钻地弹</x:v>
      </x:c>
      <x:c r="D78" s="35" t="str">
        <x:v>进阶装备</x:v>
      </x:c>
      <x:c r="E78" s="35" t="str">
        <x:v>advanced</x:v>
      </x:c>
      <x:c r="F78" s="35" t="str">
        <x:v>是</x:v>
      </x:c>
      <x:c r="G78" s="35" t="str">
        <x:v>是</x:v>
      </x:c>
      <x:c r="H78" s="35" t="str"/>
      <x:c r="I78" s="35" t="str">
        <x:v>currency_wars_equipment_041；currency_wars_equipment_040</x:v>
      </x:c>
      <x:c r="J78" s="35" t="str">
        <x:v>assets/currency_wars_equipment_icons/currency_wars_equipment_079.png</x:v>
      </x:c>
      <x:c r="K78" s="35" t="str">
        <x:v>057093a212c7dc7196a410cd1fae91fec7bd4e34113ea1ffe0fd38573350dc11</x:v>
      </x:c>
      <x:c r="L78" s="35" t="str">
        <x:v>057093a212c7dc7196a410cd1fae91fec7bd4e34113ea1ffe0fd38573350dc11</x:v>
      </x:c>
      <x:c r="M78" s="36" t="b">
        <x:v>1</x:v>
      </x:c>
      <x:c r="N78" s="39" t="n">
        <x:f>COUNTIF($L$2:$L$158,L78)</x:f>
        <x:v>2</x:v>
      </x:c>
      <x:c r="O78" s="39" t="str">
        <x:v>079；118</x:v>
      </x:c>
      <x:c r="P78" s="39" t="str">
        <x:v>行星钻地弹；行星钻地弹•特权</x:v>
      </x:c>
      <x:c r="Q78" s="35" t="n">
        <x:v>26340</x:v>
      </x:c>
      <x:c r="R78" s="35" t="n">
        <x:v>128</x:v>
      </x:c>
      <x:c r="S78" s="35" t="n">
        <x:v>128</x:v>
      </x:c>
      <x:c r="T78" s="35" t="str">
        <x:v>https://patchwiki.biligame.com/images/sr/2/24/4hbqrn3pq600ijf5mkqpqzdeude4h5i.png</x:v>
      </x:c>
      <x:c r="U78" s="35" t="str">
        <x:v>https://wiki.biligame.com/sr/%E8%A1%8C%E6%98%9F%E9%92%BB%E5%9C%B0%E5%BC%B9</x:v>
      </x:c>
      <x:c r="V78" s="35" t="n">
        <x:v>99085</x:v>
      </x:c>
      <x:c r="W78" s="35" t="n">
        <x:v>200</x:v>
      </x:c>
      <x:c r="X78" s="35" t="str">
        <x:v>057093a212c7dc7196a410cd1fae91fec7bd4e34113ea1ffe0fd38573350dc11</x:v>
      </x:c>
      <x:c r="Y78" s="36" t="b">
        <x:v>1</x:v>
      </x:c>
      <x:c r="Z78" s="36" t="b">
        <x:v>1</x:v>
      </x:c>
      <x:c r="AA78" s="35" t="str">
        <x:v>HTTP 567（限流/反爬）</x:v>
      </x:c>
      <x:c r="AB78" s="35" t="str"/>
      <x:c r="AC78" s="35" t="str">
        <x:v>equipment-contact-04.png</x:v>
      </x:c>
      <x:c r="AD78" s="35" t="str">
        <x:v>第4行第2列</x:v>
      </x:c>
      <x:c r="AE78" s="35" t="str">
        <x:v>逐项可见；未见空白、破损、异常裁切或相邻错位</x:v>
      </x:c>
      <x:c r="AF78" s="35" t="str">
        <x:v>同图多ID；识别时必须保留CandidateIds/Unknown，不得强收敛</x:v>
      </x:c>
      <x:c r="AG78" s="35" t="str">
        <x:v>BWIKI oldid=99085+PatchWiki；米游社官方资料仅提供玩法或少量条目补充</x:v>
      </x:c>
      <x:c r="AH78" s="35" t="str">
        <x:v>仅凭图标无法区分本簇具体ID</x:v>
      </x:c>
      <x:c r="AI78" s="40" t="str">
        <x:f>IF(OR(K78&lt;&gt;L78,M78&lt;&gt;TRUE,Y78&lt;&gt;TRUE,Z78&lt;&gt;TRUE),"冲突",IF(OR(D78="？",D78="？？？"),"分类冲突待确认",IF(N78&gt;1,"图标一致；具体ID不唯一","图标/名称/来源无已发现冲突")))</x:f>
        <x:v>图标一致；具体ID不唯一</x:v>
      </x:c>
    </x:row>
    <x:row r="79" ht="38" customHeight="1">
      <x:c r="A79" s="35" t="n">
        <x:v>78</x:v>
      </x:c>
      <x:c r="B79" s="35" t="str">
        <x:v>currency_wars_equipment_080</x:v>
      </x:c>
      <x:c r="C79" s="35" t="str">
        <x:v>追逐星辰</x:v>
      </x:c>
      <x:c r="D79" s="35" t="str">
        <x:v>进阶装备</x:v>
      </x:c>
      <x:c r="E79" s="35" t="str">
        <x:v>advanced</x:v>
      </x:c>
      <x:c r="F79" s="35" t="str">
        <x:v>是</x:v>
      </x:c>
      <x:c r="G79" s="35" t="str">
        <x:v>是</x:v>
      </x:c>
      <x:c r="H79" s="35" t="str"/>
      <x:c r="I79" s="35" t="str">
        <x:v>currency_wars_equipment_043；currency_wars_equipment_046</x:v>
      </x:c>
      <x:c r="J79" s="35" t="str">
        <x:v>assets/currency_wars_equipment_icons/currency_wars_equipment_080.png</x:v>
      </x:c>
      <x:c r="K79" s="35" t="str">
        <x:v>ef05ef9c99143308d34121776f49b584f899a13afff12bc3d8ae58c6acac8898</x:v>
      </x:c>
      <x:c r="L79" s="35" t="str">
        <x:v>ef05ef9c99143308d34121776f49b584f899a13afff12bc3d8ae58c6acac8898</x:v>
      </x:c>
      <x:c r="M79" s="36" t="b">
        <x:v>1</x:v>
      </x:c>
      <x:c r="N79" s="39" t="n">
        <x:f>COUNTIF($L$2:$L$158,L79)</x:f>
        <x:v>2</x:v>
      </x:c>
      <x:c r="O79" s="39" t="str">
        <x:v>080；119</x:v>
      </x:c>
      <x:c r="P79" s="39" t="str">
        <x:v>追逐星辰；追逐星辰•特权</x:v>
      </x:c>
      <x:c r="Q79" s="35" t="n">
        <x:v>33526</x:v>
      </x:c>
      <x:c r="R79" s="35" t="n">
        <x:v>128</x:v>
      </x:c>
      <x:c r="S79" s="35" t="n">
        <x:v>128</x:v>
      </x:c>
      <x:c r="T79" s="35" t="str">
        <x:v>https://patchwiki.biligame.com/images/sr/9/99/b0d8lme3910kdmbez1qs905zlxudaz6.png</x:v>
      </x:c>
      <x:c r="U79" s="35" t="str">
        <x:v>https://wiki.biligame.com/sr/%E8%BF%BD%E9%80%90%E6%98%9F%E8%BE%B0</x:v>
      </x:c>
      <x:c r="V79" s="35" t="n">
        <x:v>99085</x:v>
      </x:c>
      <x:c r="W79" s="35" t="n">
        <x:v>200</x:v>
      </x:c>
      <x:c r="X79" s="35" t="str">
        <x:v>ef05ef9c99143308d34121776f49b584f899a13afff12bc3d8ae58c6acac8898</x:v>
      </x:c>
      <x:c r="Y79" s="36" t="b">
        <x:v>1</x:v>
      </x:c>
      <x:c r="Z79" s="36" t="b">
        <x:v>1</x:v>
      </x:c>
      <x:c r="AA79" s="35" t="str">
        <x:v>HTTP 200 反爬占位页</x:v>
      </x:c>
      <x:c r="AB79" s="35" t="str"/>
      <x:c r="AC79" s="35" t="str">
        <x:v>equipment-contact-04.png</x:v>
      </x:c>
      <x:c r="AD79" s="35" t="str">
        <x:v>第4行第3列</x:v>
      </x:c>
      <x:c r="AE79" s="35" t="str">
        <x:v>逐项可见；未见空白、破损、异常裁切或相邻错位</x:v>
      </x:c>
      <x:c r="AF79" s="35" t="str">
        <x:v>同图多ID；识别时必须保留CandidateIds/Unknown，不得强收敛</x:v>
      </x:c>
      <x:c r="AG79" s="35" t="str">
        <x:v>BWIKI oldid=99085+PatchWiki；米游社官方资料仅提供玩法或少量条目补充</x:v>
      </x:c>
      <x:c r="AH79" s="35" t="str">
        <x:v>仅凭图标无法区分本簇具体ID</x:v>
      </x:c>
      <x:c r="AI79" s="40" t="str">
        <x:f>IF(OR(K79&lt;&gt;L79,M79&lt;&gt;TRUE,Y79&lt;&gt;TRUE,Z79&lt;&gt;TRUE),"冲突",IF(OR(D79="？",D79="？？？"),"分类冲突待确认",IF(N79&gt;1,"图标一致；具体ID不唯一","图标/名称/来源无已发现冲突")))</x:f>
        <x:v>图标一致；具体ID不唯一</x:v>
      </x:c>
    </x:row>
    <x:row r="80" ht="38" customHeight="1">
      <x:c r="A80" s="35" t="n">
        <x:v>79</x:v>
      </x:c>
      <x:c r="B80" s="35" t="str">
        <x:v>currency_wars_equipment_081</x:v>
      </x:c>
      <x:c r="C80" s="35" t="str">
        <x:v>闪光手榴弹</x:v>
      </x:c>
      <x:c r="D80" s="35" t="str">
        <x:v>进阶装备</x:v>
      </x:c>
      <x:c r="E80" s="35" t="str">
        <x:v>advanced</x:v>
      </x:c>
      <x:c r="F80" s="35" t="str">
        <x:v>是</x:v>
      </x:c>
      <x:c r="G80" s="35" t="str">
        <x:v>是</x:v>
      </x:c>
      <x:c r="H80" s="35" t="str"/>
      <x:c r="I80" s="35" t="str">
        <x:v>currency_wars_equipment_040；currency_wars_equipment_047</x:v>
      </x:c>
      <x:c r="J80" s="35" t="str">
        <x:v>assets/currency_wars_equipment_icons/currency_wars_equipment_081.png</x:v>
      </x:c>
      <x:c r="K80" s="35" t="str">
        <x:v>014ef547bca716049301e771bb5f9ff025777d31210818901237269f6872a98b</x:v>
      </x:c>
      <x:c r="L80" s="35" t="str">
        <x:v>014ef547bca716049301e771bb5f9ff025777d31210818901237269f6872a98b</x:v>
      </x:c>
      <x:c r="M80" s="36" t="b">
        <x:v>1</x:v>
      </x:c>
      <x:c r="N80" s="39" t="n">
        <x:f>COUNTIF($L$2:$L$158,L80)</x:f>
        <x:v>2</x:v>
      </x:c>
      <x:c r="O80" s="39" t="str">
        <x:v>081；120</x:v>
      </x:c>
      <x:c r="P80" s="39" t="str">
        <x:v>闪光手榴弹；闪光手榴弹•特权</x:v>
      </x:c>
      <x:c r="Q80" s="35" t="n">
        <x:v>31824</x:v>
      </x:c>
      <x:c r="R80" s="35" t="n">
        <x:v>128</x:v>
      </x:c>
      <x:c r="S80" s="35" t="n">
        <x:v>128</x:v>
      </x:c>
      <x:c r="T80" s="35" t="str">
        <x:v>https://patchwiki.biligame.com/images/sr/8/85/kubtrv6ger3f7d36hfttomyu0smwfvk.png</x:v>
      </x:c>
      <x:c r="U80" s="35" t="str">
        <x:v>https://wiki.biligame.com/sr/%E9%97%AA%E5%85%89%E6%89%8B%E6%A6%B4%E5%BC%B9</x:v>
      </x:c>
      <x:c r="V80" s="35" t="n">
        <x:v>99085</x:v>
      </x:c>
      <x:c r="W80" s="35" t="n">
        <x:v>200</x:v>
      </x:c>
      <x:c r="X80" s="35" t="str">
        <x:v>014ef547bca716049301e771bb5f9ff025777d31210818901237269f6872a98b</x:v>
      </x:c>
      <x:c r="Y80" s="36" t="b">
        <x:v>1</x:v>
      </x:c>
      <x:c r="Z80" s="36" t="b">
        <x:v>1</x:v>
      </x:c>
      <x:c r="AA80" s="35" t="str">
        <x:v>HTTP 200 反爬占位页</x:v>
      </x:c>
      <x:c r="AB80" s="35" t="str"/>
      <x:c r="AC80" s="35" t="str">
        <x:v>equipment-contact-04.png</x:v>
      </x:c>
      <x:c r="AD80" s="35" t="str">
        <x:v>第4行第4列</x:v>
      </x:c>
      <x:c r="AE80" s="35" t="str">
        <x:v>逐项可见；未见空白、破损、异常裁切或相邻错位</x:v>
      </x:c>
      <x:c r="AF80" s="35" t="str">
        <x:v>同图多ID；识别时必须保留CandidateIds/Unknown，不得强收敛</x:v>
      </x:c>
      <x:c r="AG80" s="35" t="str">
        <x:v>BWIKI oldid=99085+PatchWiki；米游社官方资料仅提供玩法或少量条目补充</x:v>
      </x:c>
      <x:c r="AH80" s="35" t="str">
        <x:v>仅凭图标无法区分本簇具体ID</x:v>
      </x:c>
      <x:c r="AI80" s="40" t="str">
        <x:f>IF(OR(K80&lt;&gt;L80,M80&lt;&gt;TRUE,Y80&lt;&gt;TRUE,Z80&lt;&gt;TRUE),"冲突",IF(OR(D80="？",D80="？？？"),"分类冲突待确认",IF(N80&gt;1,"图标一致；具体ID不唯一","图标/名称/来源无已发现冲突")))</x:f>
        <x:v>图标一致；具体ID不唯一</x:v>
      </x:c>
    </x:row>
    <x:row r="81" ht="38" customHeight="1">
      <x:c r="A81" s="35" t="n">
        <x:v>80</x:v>
      </x:c>
      <x:c r="B81" s="35" t="str">
        <x:v>currency_wars_equipment_082</x:v>
      </x:c>
      <x:c r="C81" s="35" t="str">
        <x:v>随便骰子</x:v>
      </x:c>
      <x:c r="D81" s="35" t="str">
        <x:v>进阶装备</x:v>
      </x:c>
      <x:c r="E81" s="35" t="str">
        <x:v>advanced</x:v>
      </x:c>
      <x:c r="F81" s="35" t="str">
        <x:v>是</x:v>
      </x:c>
      <x:c r="G81" s="35" t="str">
        <x:v>是</x:v>
      </x:c>
      <x:c r="H81" s="35" t="str"/>
      <x:c r="I81" s="35" t="str">
        <x:v>currency_wars_equipment_043；currency_wars_equipment_043</x:v>
      </x:c>
      <x:c r="J81" s="35" t="str">
        <x:v>assets/currency_wars_equipment_icons/currency_wars_equipment_082.png</x:v>
      </x:c>
      <x:c r="K81" s="35" t="str">
        <x:v>41503631a9126cb5eff4a7386e577541e7a29c980222264e131febf96517b31b</x:v>
      </x:c>
      <x:c r="L81" s="35" t="str">
        <x:v>41503631a9126cb5eff4a7386e577541e7a29c980222264e131febf96517b31b</x:v>
      </x:c>
      <x:c r="M81" s="36" t="b">
        <x:v>1</x:v>
      </x:c>
      <x:c r="N81" s="39" t="n">
        <x:f>COUNTIF($L$2:$L$158,L81)</x:f>
        <x:v>2</x:v>
      </x:c>
      <x:c r="O81" s="39" t="str">
        <x:v>082；121</x:v>
      </x:c>
      <x:c r="P81" s="39" t="str">
        <x:v>随便骰子；随便骰子•特权</x:v>
      </x:c>
      <x:c r="Q81" s="35" t="n">
        <x:v>24563</x:v>
      </x:c>
      <x:c r="R81" s="35" t="n">
        <x:v>128</x:v>
      </x:c>
      <x:c r="S81" s="35" t="n">
        <x:v>128</x:v>
      </x:c>
      <x:c r="T81" s="35" t="str">
        <x:v>https://patchwiki.biligame.com/images/sr/f/fe/2r86qfn8jis73yz7ymp1keg0ljkppe8.png</x:v>
      </x:c>
      <x:c r="U81" s="35" t="str">
        <x:v>https://wiki.biligame.com/sr/%E9%9A%8F%E4%BE%BF%E9%AA%B0%E5%AD%90</x:v>
      </x:c>
      <x:c r="V81" s="35" t="n">
        <x:v>99085</x:v>
      </x:c>
      <x:c r="W81" s="35" t="n">
        <x:v>200</x:v>
      </x:c>
      <x:c r="X81" s="35" t="str">
        <x:v>41503631a9126cb5eff4a7386e577541e7a29c980222264e131febf96517b31b</x:v>
      </x:c>
      <x:c r="Y81" s="36" t="b">
        <x:v>1</x:v>
      </x:c>
      <x:c r="Z81" s="36" t="b">
        <x:v>1</x:v>
      </x:c>
      <x:c r="AA81" s="35" t="str">
        <x:v>HTTP 200 反爬占位页</x:v>
      </x:c>
      <x:c r="AB81" s="35" t="str"/>
      <x:c r="AC81" s="35" t="str">
        <x:v>equipment-contact-04.png</x:v>
      </x:c>
      <x:c r="AD81" s="35" t="str">
        <x:v>第4行第5列</x:v>
      </x:c>
      <x:c r="AE81" s="35" t="str">
        <x:v>逐项可见；未见空白、破损、异常裁切或相邻错位</x:v>
      </x:c>
      <x:c r="AF81" s="35" t="str">
        <x:v>同图多ID；识别时必须保留CandidateIds/Unknown，不得强收敛</x:v>
      </x:c>
      <x:c r="AG81" s="35" t="str">
        <x:v>BWIKI oldid=99085+PatchWiki；米游社官方资料仅提供玩法或少量条目补充</x:v>
      </x:c>
      <x:c r="AH81" s="35" t="str">
        <x:v>仅凭图标无法区分本簇具体ID</x:v>
      </x:c>
      <x:c r="AI81" s="40" t="str">
        <x:f>IF(OR(K81&lt;&gt;L81,M81&lt;&gt;TRUE,Y81&lt;&gt;TRUE,Z81&lt;&gt;TRUE),"冲突",IF(OR(D81="？",D81="？？？"),"分类冲突待确认",IF(N81&gt;1,"图标一致；具体ID不唯一","图标/名称/来源无已发现冲突")))</x:f>
        <x:v>图标一致；具体ID不唯一</x:v>
      </x:c>
    </x:row>
    <x:row r="82" ht="38" customHeight="1">
      <x:c r="A82" s="35" t="n">
        <x:v>81</x:v>
      </x:c>
      <x:c r="B82" s="35" t="str">
        <x:v>currency_wars_equipment_083</x:v>
      </x:c>
      <x:c r="C82" s="35" t="str">
        <x:v>高周波电锯</x:v>
      </x:c>
      <x:c r="D82" s="35" t="str">
        <x:v>进阶装备</x:v>
      </x:c>
      <x:c r="E82" s="35" t="str">
        <x:v>advanced</x:v>
      </x:c>
      <x:c r="F82" s="35" t="str">
        <x:v>是</x:v>
      </x:c>
      <x:c r="G82" s="35" t="str">
        <x:v>是</x:v>
      </x:c>
      <x:c r="H82" s="35" t="str"/>
      <x:c r="I82" s="35" t="str">
        <x:v>currency_wars_equipment_043；currency_wars_equipment_044</x:v>
      </x:c>
      <x:c r="J82" s="35" t="str">
        <x:v>assets/currency_wars_equipment_icons/currency_wars_equipment_083.png</x:v>
      </x:c>
      <x:c r="K82" s="35" t="str">
        <x:v>68bb0c44f85d14e6d41ada9323292b90c02acd6ff956315e456b912f73c8bf4e</x:v>
      </x:c>
      <x:c r="L82" s="35" t="str">
        <x:v>68bb0c44f85d14e6d41ada9323292b90c02acd6ff956315e456b912f73c8bf4e</x:v>
      </x:c>
      <x:c r="M82" s="36" t="b">
        <x:v>1</x:v>
      </x:c>
      <x:c r="N82" s="39" t="n">
        <x:f>COUNTIF($L$2:$L$158,L82)</x:f>
        <x:v>2</x:v>
      </x:c>
      <x:c r="O82" s="39" t="str">
        <x:v>083；122</x:v>
      </x:c>
      <x:c r="P82" s="39" t="str">
        <x:v>高周波电锯；高周波电锯•特权</x:v>
      </x:c>
      <x:c r="Q82" s="35" t="n">
        <x:v>30328</x:v>
      </x:c>
      <x:c r="R82" s="35" t="n">
        <x:v>128</x:v>
      </x:c>
      <x:c r="S82" s="35" t="n">
        <x:v>128</x:v>
      </x:c>
      <x:c r="T82" s="35" t="str">
        <x:v>https://patchwiki.biligame.com/images/sr/d/d1/295dp1qdznous57998ddav5rpftk3q2.png</x:v>
      </x:c>
      <x:c r="U82" s="35" t="str">
        <x:v>https://wiki.biligame.com/sr/%E9%AB%98%E5%91%A8%E6%B3%A2%E7%94%B5%E9%94%AF</x:v>
      </x:c>
      <x:c r="V82" s="35" t="n">
        <x:v>99085</x:v>
      </x:c>
      <x:c r="W82" s="35" t="n">
        <x:v>200</x:v>
      </x:c>
      <x:c r="X82" s="35" t="str">
        <x:v>68bb0c44f85d14e6d41ada9323292b90c02acd6ff956315e456b912f73c8bf4e</x:v>
      </x:c>
      <x:c r="Y82" s="36" t="b">
        <x:v>1</x:v>
      </x:c>
      <x:c r="Z82" s="36" t="b">
        <x:v>1</x:v>
      </x:c>
      <x:c r="AA82" s="35" t="str">
        <x:v>HTTP 200 反爬占位页</x:v>
      </x:c>
      <x:c r="AB82" s="35" t="str"/>
      <x:c r="AC82" s="35" t="str">
        <x:v>equipment-contact-05.png</x:v>
      </x:c>
      <x:c r="AD82" s="35" t="str">
        <x:v>第1行第1列</x:v>
      </x:c>
      <x:c r="AE82" s="35" t="str">
        <x:v>逐项可见；未见空白、破损、异常裁切或相邻错位</x:v>
      </x:c>
      <x:c r="AF82" s="35" t="str">
        <x:v>同图多ID；识别时必须保留CandidateIds/Unknown，不得强收敛</x:v>
      </x:c>
      <x:c r="AG82" s="35" t="str">
        <x:v>BWIKI oldid=99085+PatchWiki；米游社官方资料仅提供玩法或少量条目补充</x:v>
      </x:c>
      <x:c r="AH82" s="35" t="str">
        <x:v>仅凭图标无法区分本簇具体ID</x:v>
      </x:c>
      <x:c r="AI82" s="40" t="str">
        <x:f>IF(OR(K82&lt;&gt;L82,M82&lt;&gt;TRUE,Y82&lt;&gt;TRUE,Z82&lt;&gt;TRUE),"冲突",IF(OR(D82="？",D82="？？？"),"分类冲突待确认",IF(N82&gt;1,"图标一致；具体ID不唯一","图标/名称/来源无已发现冲突")))</x:f>
        <x:v>图标一致；具体ID不唯一</x:v>
      </x:c>
    </x:row>
    <x:row r="83" ht="38" customHeight="1">
      <x:c r="A83" s="35" t="n">
        <x:v>82</x:v>
      </x:c>
      <x:c r="B83" s="35" t="str">
        <x:v>currency_wars_equipment_084</x:v>
      </x:c>
      <x:c r="C83" s="35" t="str">
        <x:v>红钻</x:v>
      </x:c>
      <x:c r="D83" s="35" t="str">
        <x:v>钻石</x:v>
      </x:c>
      <x:c r="E83" s="35" t="str">
        <x:v>gem_material</x:v>
      </x:c>
      <x:c r="F83" s="35" t="str">
        <x:v>是</x:v>
      </x:c>
      <x:c r="G83" s="35" t="str">
        <x:v>是</x:v>
      </x:c>
      <x:c r="H83" s="35" t="str"/>
      <x:c r="I83" s="35" t="str"/>
      <x:c r="J83" s="35" t="str">
        <x:v>assets/currency_wars_equipment_icons/currency_wars_equipment_084.png</x:v>
      </x:c>
      <x:c r="K83" s="35" t="str">
        <x:v>89a8842bef4cd82a65c23ccc24c11539b90bd4c9f3245e3d46d5238e1c1f7999</x:v>
      </x:c>
      <x:c r="L83" s="35" t="str">
        <x:v>89a8842bef4cd82a65c23ccc24c11539b90bd4c9f3245e3d46d5238e1c1f7999</x:v>
      </x:c>
      <x:c r="M83" s="36" t="b">
        <x:v>1</x:v>
      </x:c>
      <x:c r="N83" s="35" t="n">
        <x:f>COUNTIF($L$2:$L$158,L83)</x:f>
        <x:v>1</x:v>
      </x:c>
      <x:c r="O83" s="35" t="str">
        <x:v>084</x:v>
      </x:c>
      <x:c r="P83" s="35" t="str">
        <x:v>红钻</x:v>
      </x:c>
      <x:c r="Q83" s="35" t="n">
        <x:v>25537</x:v>
      </x:c>
      <x:c r="R83" s="35" t="n">
        <x:v>128</x:v>
      </x:c>
      <x:c r="S83" s="35" t="n">
        <x:v>128</x:v>
      </x:c>
      <x:c r="T83" s="35" t="str">
        <x:v>https://patchwiki.biligame.com/images/sr/4/42/2u1q96qnbehmsfl5aothiodopwi83gn.png</x:v>
      </x:c>
      <x:c r="U83" s="35" t="str">
        <x:v>https://wiki.biligame.com/sr/%E7%BA%A2%E9%92%BB</x:v>
      </x:c>
      <x:c r="V83" s="35" t="n">
        <x:v>99085</x:v>
      </x:c>
      <x:c r="W83" s="35" t="n">
        <x:v>200</x:v>
      </x:c>
      <x:c r="X83" s="35" t="str">
        <x:v>89a8842bef4cd82a65c23ccc24c11539b90bd4c9f3245e3d46d5238e1c1f7999</x:v>
      </x:c>
      <x:c r="Y83" s="36" t="b">
        <x:v>1</x:v>
      </x:c>
      <x:c r="Z83" s="36" t="b">
        <x:v>1</x:v>
      </x:c>
      <x:c r="AA83" s="35" t="str">
        <x:v>HTTP 200 反爬占位页</x:v>
      </x:c>
      <x:c r="AB83" s="35" t="str"/>
      <x:c r="AC83" s="35" t="str">
        <x:v>equipment-contact-05.png</x:v>
      </x:c>
      <x:c r="AD83" s="35" t="str">
        <x:v>第1行第2列</x:v>
      </x:c>
      <x:c r="AE83" s="35" t="str">
        <x:v>逐项可见；未见空白、破损、异常裁切或相邻错位</x:v>
      </x:c>
      <x:c r="AF83" s="35" t="str">
        <x:v>本地哈希唯一；未发现图标与名称错位</x:v>
      </x:c>
      <x:c r="AG83" s="35" t="str">
        <x:v>BWIKI oldid=99085+PatchWiki；米游社官方资料仅提供玩法或少量条目补充</x:v>
      </x:c>
      <x:c r="AH83" s="35" t="str">
        <x:v>单条详情页本轮受限流/反爬影响，未获得独立页面实证</x:v>
      </x:c>
      <x:c r="AI83" s="38" t="str">
        <x:f>IF(OR(K83&lt;&gt;L83,M83&lt;&gt;TRUE,Y83&lt;&gt;TRUE,Z83&lt;&gt;TRUE),"冲突",IF(OR(D83="？",D83="？？？"),"分类冲突待确认",IF(N83&gt;1,"图标一致；具体ID不唯一","图标/名称/来源无已发现冲突")))</x:f>
        <x:v>图标/名称/来源无已发现冲突</x:v>
      </x:c>
    </x:row>
    <x:row r="84" ht="38" customHeight="1">
      <x:c r="A84" s="35" t="n">
        <x:v>83</x:v>
      </x:c>
      <x:c r="B84" s="35" t="str">
        <x:v>currency_wars_equipment_085</x:v>
      </x:c>
      <x:c r="C84" s="35" t="str">
        <x:v>蓝钻</x:v>
      </x:c>
      <x:c r="D84" s="35" t="str">
        <x:v>钻石</x:v>
      </x:c>
      <x:c r="E84" s="35" t="str">
        <x:v>gem_material</x:v>
      </x:c>
      <x:c r="F84" s="35" t="str">
        <x:v>是</x:v>
      </x:c>
      <x:c r="G84" s="35" t="str">
        <x:v>是</x:v>
      </x:c>
      <x:c r="H84" s="35" t="str"/>
      <x:c r="I84" s="35" t="str"/>
      <x:c r="J84" s="35" t="str">
        <x:v>assets/currency_wars_equipment_icons/currency_wars_equipment_085.png</x:v>
      </x:c>
      <x:c r="K84" s="35" t="str">
        <x:v>7d996184f8090bd7a0bb79699810f2a9e1cdebd52fde7ed2cf34ec7e8e6d143c</x:v>
      </x:c>
      <x:c r="L84" s="35" t="str">
        <x:v>7d996184f8090bd7a0bb79699810f2a9e1cdebd52fde7ed2cf34ec7e8e6d143c</x:v>
      </x:c>
      <x:c r="M84" s="36" t="b">
        <x:v>1</x:v>
      </x:c>
      <x:c r="N84" s="35" t="n">
        <x:f>COUNTIF($L$2:$L$158,L84)</x:f>
        <x:v>1</x:v>
      </x:c>
      <x:c r="O84" s="35" t="str">
        <x:v>085</x:v>
      </x:c>
      <x:c r="P84" s="35" t="str">
        <x:v>蓝钻</x:v>
      </x:c>
      <x:c r="Q84" s="35" t="n">
        <x:v>23266</x:v>
      </x:c>
      <x:c r="R84" s="35" t="n">
        <x:v>128</x:v>
      </x:c>
      <x:c r="S84" s="35" t="n">
        <x:v>128</x:v>
      </x:c>
      <x:c r="T84" s="35" t="str">
        <x:v>https://patchwiki.biligame.com/images/sr/b/b5/jy9fk5wb7wlcv16m191bwp2fjzkd8d5.png</x:v>
      </x:c>
      <x:c r="U84" s="35" t="str">
        <x:v>https://wiki.biligame.com/sr/%E8%93%9D%E9%92%BB</x:v>
      </x:c>
      <x:c r="V84" s="35" t="n">
        <x:v>99085</x:v>
      </x:c>
      <x:c r="W84" s="35" t="n">
        <x:v>200</x:v>
      </x:c>
      <x:c r="X84" s="35" t="str">
        <x:v>7d996184f8090bd7a0bb79699810f2a9e1cdebd52fde7ed2cf34ec7e8e6d143c</x:v>
      </x:c>
      <x:c r="Y84" s="36" t="b">
        <x:v>1</x:v>
      </x:c>
      <x:c r="Z84" s="36" t="b">
        <x:v>1</x:v>
      </x:c>
      <x:c r="AA84" s="35" t="str">
        <x:v>HTTP 200 反爬占位页</x:v>
      </x:c>
      <x:c r="AB84" s="35" t="str"/>
      <x:c r="AC84" s="35" t="str">
        <x:v>equipment-contact-05.png</x:v>
      </x:c>
      <x:c r="AD84" s="35" t="str">
        <x:v>第1行第3列</x:v>
      </x:c>
      <x:c r="AE84" s="35" t="str">
        <x:v>逐项可见；未见空白、破损、异常裁切或相邻错位</x:v>
      </x:c>
      <x:c r="AF84" s="35" t="str">
        <x:v>本地哈希唯一；未发现图标与名称错位</x:v>
      </x:c>
      <x:c r="AG84" s="35" t="str">
        <x:v>BWIKI oldid=99085+PatchWiki；米游社官方资料仅提供玩法或少量条目补充</x:v>
      </x:c>
      <x:c r="AH84" s="35" t="str">
        <x:v>单条详情页本轮受限流/反爬影响，未获得独立页面实证</x:v>
      </x:c>
      <x:c r="AI84" s="38" t="str">
        <x:f>IF(OR(K84&lt;&gt;L84,M84&lt;&gt;TRUE,Y84&lt;&gt;TRUE,Z84&lt;&gt;TRUE),"冲突",IF(OR(D84="？",D84="？？？"),"分类冲突待确认",IF(N84&gt;1,"图标一致；具体ID不唯一","图标/名称/来源无已发现冲突")))</x:f>
        <x:v>图标/名称/来源无已发现冲突</x:v>
      </x:c>
    </x:row>
    <x:row r="85" ht="38" customHeight="1">
      <x:c r="A85" s="35" t="n">
        <x:v>84</x:v>
      </x:c>
      <x:c r="B85" s="35" t="str">
        <x:v>currency_wars_equipment_086</x:v>
      </x:c>
      <x:c r="C85" s="35" t="str">
        <x:v>财富宝钻</x:v>
      </x:c>
      <x:c r="D85" s="35" t="str">
        <x:v>宝钻</x:v>
      </x:c>
      <x:c r="E85" s="35" t="str">
        <x:v>wealth_gem</x:v>
      </x:c>
      <x:c r="F85" s="35" t="str">
        <x:v>是</x:v>
      </x:c>
      <x:c r="G85" s="35" t="str">
        <x:v>是</x:v>
      </x:c>
      <x:c r="H85" s="35" t="str"/>
      <x:c r="I85" s="35" t="str">
        <x:v>currency_wars_equipment_084；currency_wars_equipment_084</x:v>
      </x:c>
      <x:c r="J85" s="35" t="str">
        <x:v>assets/currency_wars_equipment_icons/currency_wars_equipment_086.png</x:v>
      </x:c>
      <x:c r="K85" s="35" t="str">
        <x:v>1e13d90dc6590245df3aa2df61285035f1a37d311dba5770e7588e4d5e9543cb</x:v>
      </x:c>
      <x:c r="L85" s="35" t="str">
        <x:v>1e13d90dc6590245df3aa2df61285035f1a37d311dba5770e7588e4d5e9543cb</x:v>
      </x:c>
      <x:c r="M85" s="36" t="b">
        <x:v>1</x:v>
      </x:c>
      <x:c r="N85" s="35" t="n">
        <x:f>COUNTIF($L$2:$L$158,L85)</x:f>
        <x:v>1</x:v>
      </x:c>
      <x:c r="O85" s="35" t="str">
        <x:v>086</x:v>
      </x:c>
      <x:c r="P85" s="35" t="str">
        <x:v>财富宝钻</x:v>
      </x:c>
      <x:c r="Q85" s="35" t="n">
        <x:v>25733</x:v>
      </x:c>
      <x:c r="R85" s="35" t="n">
        <x:v>128</x:v>
      </x:c>
      <x:c r="S85" s="35" t="n">
        <x:v>128</x:v>
      </x:c>
      <x:c r="T85" s="35" t="str">
        <x:v>https://patchwiki.biligame.com/images/sr/6/6b/61t8p4n2dqp3hckscoinmra0mypyfsl.png</x:v>
      </x:c>
      <x:c r="U85" s="35" t="str">
        <x:v>https://wiki.biligame.com/sr/%E8%B4%A2%E5%AF%8C%E5%AE%9D%E9%92%BB</x:v>
      </x:c>
      <x:c r="V85" s="35" t="n">
        <x:v>99085</x:v>
      </x:c>
      <x:c r="W85" s="35" t="n">
        <x:v>200</x:v>
      </x:c>
      <x:c r="X85" s="35" t="str">
        <x:v>1e13d90dc6590245df3aa2df61285035f1a37d311dba5770e7588e4d5e9543cb</x:v>
      </x:c>
      <x:c r="Y85" s="36" t="b">
        <x:v>1</x:v>
      </x:c>
      <x:c r="Z85" s="36" t="b">
        <x:v>1</x:v>
      </x:c>
      <x:c r="AA85" s="35" t="str">
        <x:v>HTTP 200 反爬占位页</x:v>
      </x:c>
      <x:c r="AB85" s="35" t="str"/>
      <x:c r="AC85" s="35" t="str">
        <x:v>equipment-contact-05.png</x:v>
      </x:c>
      <x:c r="AD85" s="35" t="str">
        <x:v>第1行第4列</x:v>
      </x:c>
      <x:c r="AE85" s="35" t="str">
        <x:v>逐项可见；未见空白、破损、异常裁切或相邻错位</x:v>
      </x:c>
      <x:c r="AF85" s="35" t="str">
        <x:v>本地哈希唯一；未发现图标与名称错位</x:v>
      </x:c>
      <x:c r="AG85" s="35" t="str">
        <x:v>BWIKI oldid=99085+PatchWiki；米游社官方资料仅提供玩法或少量条目补充</x:v>
      </x:c>
      <x:c r="AH85" s="35" t="str">
        <x:v>单条详情页本轮受限流/反爬影响，未获得独立页面实证</x:v>
      </x:c>
      <x:c r="AI85" s="38" t="str">
        <x:f>IF(OR(K85&lt;&gt;L85,M85&lt;&gt;TRUE,Y85&lt;&gt;TRUE,Z85&lt;&gt;TRUE),"冲突",IF(OR(D85="？",D85="？？？"),"分类冲突待确认",IF(N85&gt;1,"图标一致；具体ID不唯一","图标/名称/来源无已发现冲突")))</x:f>
        <x:v>图标/名称/来源无已发现冲突</x:v>
      </x:c>
    </x:row>
    <x:row r="86" ht="38" customHeight="1">
      <x:c r="A86" s="35" t="n">
        <x:v>85</x:v>
      </x:c>
      <x:c r="B86" s="35" t="str">
        <x:v>currency_wars_equipment_087</x:v>
      </x:c>
      <x:c r="C86" s="35" t="str">
        <x:v>以牙还牙甲•特权</x:v>
      </x:c>
      <x:c r="D86" s="35" t="str">
        <x:v>特权装备</x:v>
      </x:c>
      <x:c r="E86" s="35" t="str">
        <x:v>privileged</x:v>
      </x:c>
      <x:c r="F86" s="35" t="str">
        <x:v>是</x:v>
      </x:c>
      <x:c r="G86" s="35" t="str">
        <x:v>是</x:v>
      </x:c>
      <x:c r="H86" s="35" t="str">
        <x:v>currency_wars_equipment_048</x:v>
      </x:c>
      <x:c r="I86" s="35" t="str"/>
      <x:c r="J86" s="35" t="str">
        <x:v>assets/currency_wars_equipment_icons/currency_wars_equipment_087.png</x:v>
      </x:c>
      <x:c r="K86" s="35" t="str">
        <x:v>0111479a0ccb4585ccb931acbaab0e9771877936a5ce7ae10850242a446e0cb9</x:v>
      </x:c>
      <x:c r="L86" s="35" t="str">
        <x:v>0111479a0ccb4585ccb931acbaab0e9771877936a5ce7ae10850242a446e0cb9</x:v>
      </x:c>
      <x:c r="M86" s="36" t="b">
        <x:v>1</x:v>
      </x:c>
      <x:c r="N86" s="39" t="n">
        <x:f>COUNTIF($L$2:$L$158,L86)</x:f>
        <x:v>2</x:v>
      </x:c>
      <x:c r="O86" s="39" t="str">
        <x:v>048；087</x:v>
      </x:c>
      <x:c r="P86" s="39" t="str">
        <x:v>以牙还牙甲；以牙还牙甲•特权</x:v>
      </x:c>
      <x:c r="Q86" s="35" t="n">
        <x:v>35177</x:v>
      </x:c>
      <x:c r="R86" s="35" t="n">
        <x:v>128</x:v>
      </x:c>
      <x:c r="S86" s="35" t="n">
        <x:v>128</x:v>
      </x:c>
      <x:c r="T86" s="35" t="str">
        <x:v>https://patchwiki.biligame.com/images/sr/b/b9/eo02d2gr85j4lqukmjstaz91b6ip3wu.png</x:v>
      </x:c>
      <x:c r="U86" s="35" t="str">
        <x:v>https://wiki.biligame.com/sr/%E4%BB%A5%E7%89%99%E8%BF%98%E7%89%99%E7%94%B2%E2%80%A2%E7%89%B9%E6%9D%83</x:v>
      </x:c>
      <x:c r="V86" s="35" t="n">
        <x:v>99085</x:v>
      </x:c>
      <x:c r="W86" s="35" t="n">
        <x:v>200</x:v>
      </x:c>
      <x:c r="X86" s="35" t="str">
        <x:v>0111479a0ccb4585ccb931acbaab0e9771877936a5ce7ae10850242a446e0cb9</x:v>
      </x:c>
      <x:c r="Y86" s="36" t="b">
        <x:v>1</x:v>
      </x:c>
      <x:c r="Z86" s="36" t="b">
        <x:v>1</x:v>
      </x:c>
      <x:c r="AA86" s="35" t="str">
        <x:v>HTTP 200 反爬占位页</x:v>
      </x:c>
      <x:c r="AB86" s="35" t="str"/>
      <x:c r="AC86" s="35" t="str">
        <x:v>equipment-contact-05.png</x:v>
      </x:c>
      <x:c r="AD86" s="35" t="str">
        <x:v>第1行第5列</x:v>
      </x:c>
      <x:c r="AE86" s="35" t="str">
        <x:v>逐项可见；未见空白、破损、异常裁切或相邻错位</x:v>
      </x:c>
      <x:c r="AF86" s="35" t="str">
        <x:v>同图多ID；识别时必须保留CandidateIds/Unknown，不得强收敛</x:v>
      </x:c>
      <x:c r="AG86" s="35" t="str">
        <x:v>BWIKI oldid=99085+PatchWiki；米游社官方资料仅提供玩法或少量条目补充</x:v>
      </x:c>
      <x:c r="AH86" s="35" t="str">
        <x:v>仅凭图标无法区分本簇具体ID</x:v>
      </x:c>
      <x:c r="AI86" s="40" t="str">
        <x:f>IF(OR(K86&lt;&gt;L86,M86&lt;&gt;TRUE,Y86&lt;&gt;TRUE,Z86&lt;&gt;TRUE),"冲突",IF(OR(D86="？",D86="？？？"),"分类冲突待确认",IF(N86&gt;1,"图标一致；具体ID不唯一","图标/名称/来源无已发现冲突")))</x:f>
        <x:v>图标一致；具体ID不唯一</x:v>
      </x:c>
    </x:row>
    <x:row r="87" ht="38" customHeight="1">
      <x:c r="A87" s="35" t="n">
        <x:v>86</x:v>
      </x:c>
      <x:c r="B87" s="35" t="str">
        <x:v>currency_wars_equipment_088</x:v>
      </x:c>
      <x:c r="C87" s="35" t="str">
        <x:v>信心注入器•特权</x:v>
      </x:c>
      <x:c r="D87" s="35" t="str">
        <x:v>特权装备</x:v>
      </x:c>
      <x:c r="E87" s="35" t="str">
        <x:v>privileged</x:v>
      </x:c>
      <x:c r="F87" s="35" t="str">
        <x:v>是</x:v>
      </x:c>
      <x:c r="G87" s="35" t="str">
        <x:v>是</x:v>
      </x:c>
      <x:c r="H87" s="35" t="str">
        <x:v>currency_wars_equipment_049</x:v>
      </x:c>
      <x:c r="I87" s="35" t="str"/>
      <x:c r="J87" s="35" t="str">
        <x:v>assets/currency_wars_equipment_icons/currency_wars_equipment_088.png</x:v>
      </x:c>
      <x:c r="K87" s="35" t="str">
        <x:v>56bea7098d3578a24612068268e277f53e143b1aa23ac0d32df8afadca76c09e</x:v>
      </x:c>
      <x:c r="L87" s="35" t="str">
        <x:v>56bea7098d3578a24612068268e277f53e143b1aa23ac0d32df8afadca76c09e</x:v>
      </x:c>
      <x:c r="M87" s="36" t="b">
        <x:v>1</x:v>
      </x:c>
      <x:c r="N87" s="39" t="n">
        <x:f>COUNTIF($L$2:$L$158,L87)</x:f>
        <x:v>2</x:v>
      </x:c>
      <x:c r="O87" s="39" t="str">
        <x:v>049；088</x:v>
      </x:c>
      <x:c r="P87" s="39" t="str">
        <x:v>信心注入器；信心注入器•特权</x:v>
      </x:c>
      <x:c r="Q87" s="35" t="n">
        <x:v>31189</x:v>
      </x:c>
      <x:c r="R87" s="35" t="n">
        <x:v>128</x:v>
      </x:c>
      <x:c r="S87" s="35" t="n">
        <x:v>128</x:v>
      </x:c>
      <x:c r="T87" s="35" t="str">
        <x:v>https://patchwiki.biligame.com/images/sr/1/19/4hqov03g1ee61d5brm35ncbu1ln8tje.png</x:v>
      </x:c>
      <x:c r="U87" s="35" t="str">
        <x:v>https://wiki.biligame.com/sr/%E4%BF%A1%E5%BF%83%E6%B3%A8%E5%85%A5%E5%99%A8%E2%80%A2%E7%89%B9%E6%9D%83</x:v>
      </x:c>
      <x:c r="V87" s="35" t="n">
        <x:v>99085</x:v>
      </x:c>
      <x:c r="W87" s="35" t="n">
        <x:v>200</x:v>
      </x:c>
      <x:c r="X87" s="35" t="str">
        <x:v>56bea7098d3578a24612068268e277f53e143b1aa23ac0d32df8afadca76c09e</x:v>
      </x:c>
      <x:c r="Y87" s="36" t="b">
        <x:v>1</x:v>
      </x:c>
      <x:c r="Z87" s="36" t="b">
        <x:v>1</x:v>
      </x:c>
      <x:c r="AA87" s="35" t="str">
        <x:v>HTTP 200 反爬占位页</x:v>
      </x:c>
      <x:c r="AB87" s="35" t="str"/>
      <x:c r="AC87" s="35" t="str">
        <x:v>equipment-contact-05.png</x:v>
      </x:c>
      <x:c r="AD87" s="35" t="str">
        <x:v>第2行第1列</x:v>
      </x:c>
      <x:c r="AE87" s="35" t="str">
        <x:v>逐项可见；未见空白、破损、异常裁切或相邻错位</x:v>
      </x:c>
      <x:c r="AF87" s="35" t="str">
        <x:v>同图多ID；识别时必须保留CandidateIds/Unknown，不得强收敛</x:v>
      </x:c>
      <x:c r="AG87" s="35" t="str">
        <x:v>BWIKI oldid=99085+PatchWiki；米游社官方资料仅提供玩法或少量条目补充</x:v>
      </x:c>
      <x:c r="AH87" s="35" t="str">
        <x:v>仅凭图标无法区分本簇具体ID</x:v>
      </x:c>
      <x:c r="AI87" s="40" t="str">
        <x:f>IF(OR(K87&lt;&gt;L87,M87&lt;&gt;TRUE,Y87&lt;&gt;TRUE,Z87&lt;&gt;TRUE),"冲突",IF(OR(D87="？",D87="？？？"),"分类冲突待确认",IF(N87&gt;1,"图标一致；具体ID不唯一","图标/名称/来源无已发现冲突")))</x:f>
        <x:v>图标一致；具体ID不唯一</x:v>
      </x:c>
    </x:row>
    <x:row r="88" ht="38" customHeight="1">
      <x:c r="A88" s="35" t="n">
        <x:v>87</x:v>
      </x:c>
      <x:c r="B88" s="35" t="str">
        <x:v>currency_wars_equipment_089</x:v>
      </x:c>
      <x:c r="C88" s="35" t="str">
        <x:v>光能盾牌•特权</x:v>
      </x:c>
      <x:c r="D88" s="35" t="str">
        <x:v>特权装备</x:v>
      </x:c>
      <x:c r="E88" s="35" t="str">
        <x:v>privileged</x:v>
      </x:c>
      <x:c r="F88" s="35" t="str">
        <x:v>是</x:v>
      </x:c>
      <x:c r="G88" s="35" t="str">
        <x:v>是</x:v>
      </x:c>
      <x:c r="H88" s="35" t="str">
        <x:v>currency_wars_equipment_050</x:v>
      </x:c>
      <x:c r="I88" s="35" t="str"/>
      <x:c r="J88" s="35" t="str">
        <x:v>assets/currency_wars_equipment_icons/currency_wars_equipment_089.png</x:v>
      </x:c>
      <x:c r="K88" s="35" t="str">
        <x:v>4c7f19fa94a7b2845a067e086a52874e66cd3f35ffb3533a14b142dd475fb782</x:v>
      </x:c>
      <x:c r="L88" s="35" t="str">
        <x:v>4c7f19fa94a7b2845a067e086a52874e66cd3f35ffb3533a14b142dd475fb782</x:v>
      </x:c>
      <x:c r="M88" s="36" t="b">
        <x:v>1</x:v>
      </x:c>
      <x:c r="N88" s="39" t="n">
        <x:f>COUNTIF($L$2:$L$158,L88)</x:f>
        <x:v>2</x:v>
      </x:c>
      <x:c r="O88" s="39" t="str">
        <x:v>050；089</x:v>
      </x:c>
      <x:c r="P88" s="39" t="str">
        <x:v>光能盾牌；光能盾牌•特权</x:v>
      </x:c>
      <x:c r="Q88" s="35" t="n">
        <x:v>23578</x:v>
      </x:c>
      <x:c r="R88" s="35" t="n">
        <x:v>128</x:v>
      </x:c>
      <x:c r="S88" s="35" t="n">
        <x:v>128</x:v>
      </x:c>
      <x:c r="T88" s="35" t="str">
        <x:v>https://patchwiki.biligame.com/images/sr/3/3b/mehybcs3df2tt1o2lv56ktaea1caa3q.png</x:v>
      </x:c>
      <x:c r="U88" s="35" t="str">
        <x:v>https://wiki.biligame.com/sr/%E5%85%89%E8%83%BD%E7%9B%BE%E7%89%8C%E2%80%A2%E7%89%B9%E6%9D%83</x:v>
      </x:c>
      <x:c r="V88" s="35" t="n">
        <x:v>99085</x:v>
      </x:c>
      <x:c r="W88" s="35" t="n">
        <x:v>200</x:v>
      </x:c>
      <x:c r="X88" s="35" t="str">
        <x:v>4c7f19fa94a7b2845a067e086a52874e66cd3f35ffb3533a14b142dd475fb782</x:v>
      </x:c>
      <x:c r="Y88" s="36" t="b">
        <x:v>1</x:v>
      </x:c>
      <x:c r="Z88" s="36" t="b">
        <x:v>1</x:v>
      </x:c>
      <x:c r="AA88" s="35" t="str">
        <x:v>HTTP 200 反爬占位页</x:v>
      </x:c>
      <x:c r="AB88" s="35" t="str"/>
      <x:c r="AC88" s="35" t="str">
        <x:v>equipment-contact-05.png</x:v>
      </x:c>
      <x:c r="AD88" s="35" t="str">
        <x:v>第2行第2列</x:v>
      </x:c>
      <x:c r="AE88" s="35" t="str">
        <x:v>逐项可见；未见空白、破损、异常裁切或相邻错位</x:v>
      </x:c>
      <x:c r="AF88" s="35" t="str">
        <x:v>同图多ID；识别时必须保留CandidateIds/Unknown，不得强收敛</x:v>
      </x:c>
      <x:c r="AG88" s="35" t="str">
        <x:v>BWIKI oldid=99085+PatchWiki；米游社官方资料仅提供玩法或少量条目补充</x:v>
      </x:c>
      <x:c r="AH88" s="35" t="str">
        <x:v>仅凭图标无法区分本簇具体ID</x:v>
      </x:c>
      <x:c r="AI88" s="40" t="str">
        <x:f>IF(OR(K88&lt;&gt;L88,M88&lt;&gt;TRUE,Y88&lt;&gt;TRUE,Z88&lt;&gt;TRUE),"冲突",IF(OR(D88="？",D88="？？？"),"分类冲突待确认",IF(N88&gt;1,"图标一致；具体ID不唯一","图标/名称/来源无已发现冲突")))</x:f>
        <x:v>图标一致；具体ID不唯一</x:v>
      </x:c>
    </x:row>
    <x:row r="89" ht="38" customHeight="1">
      <x:c r="A89" s="35" t="n">
        <x:v>88</x:v>
      </x:c>
      <x:c r="B89" s="35" t="str">
        <x:v>currency_wars_equipment_090</x:v>
      </x:c>
      <x:c r="C89" s="35" t="str">
        <x:v>光速螺旋桨•特权</x:v>
      </x:c>
      <x:c r="D89" s="35" t="str">
        <x:v>特权装备</x:v>
      </x:c>
      <x:c r="E89" s="35" t="str">
        <x:v>privileged</x:v>
      </x:c>
      <x:c r="F89" s="35" t="str">
        <x:v>是</x:v>
      </x:c>
      <x:c r="G89" s="35" t="str">
        <x:v>是</x:v>
      </x:c>
      <x:c r="H89" s="35" t="str">
        <x:v>currency_wars_equipment_051</x:v>
      </x:c>
      <x:c r="I89" s="35" t="str"/>
      <x:c r="J89" s="35" t="str">
        <x:v>assets/currency_wars_equipment_icons/currency_wars_equipment_090.png</x:v>
      </x:c>
      <x:c r="K89" s="35" t="str">
        <x:v>e6a8adcd7331b1036186a76b3190cd5746b58d89e84e5a6aa07a25860b760eb2</x:v>
      </x:c>
      <x:c r="L89" s="35" t="str">
        <x:v>e6a8adcd7331b1036186a76b3190cd5746b58d89e84e5a6aa07a25860b760eb2</x:v>
      </x:c>
      <x:c r="M89" s="36" t="b">
        <x:v>1</x:v>
      </x:c>
      <x:c r="N89" s="39" t="n">
        <x:f>COUNTIF($L$2:$L$158,L89)</x:f>
        <x:v>4</x:v>
      </x:c>
      <x:c r="O89" s="39" t="str">
        <x:v>051；090；143；146</x:v>
      </x:c>
      <x:c r="P89" s="39" t="str">
        <x:v>光速螺旋桨；光速螺旋桨•特权；极•白昼•光速螺旋桨；白昼•光速螺旋桨</x:v>
      </x:c>
      <x:c r="Q89" s="35" t="n">
        <x:v>31526</x:v>
      </x:c>
      <x:c r="R89" s="35" t="n">
        <x:v>128</x:v>
      </x:c>
      <x:c r="S89" s="35" t="n">
        <x:v>128</x:v>
      </x:c>
      <x:c r="T89" s="35" t="str">
        <x:v>https://patchwiki.biligame.com/images/sr/9/99/tuj9v192vmobh7xslh16kbia0uurl7q.png</x:v>
      </x:c>
      <x:c r="U89" s="35" t="str">
        <x:v>https://wiki.biligame.com/sr/%E5%85%89%E9%80%9F%E8%9E%BA%E6%97%8B%E6%A1%A8%E2%80%A2%E7%89%B9%E6%9D%83</x:v>
      </x:c>
      <x:c r="V89" s="35" t="n">
        <x:v>99085</x:v>
      </x:c>
      <x:c r="W89" s="35" t="n">
        <x:v>200</x:v>
      </x:c>
      <x:c r="X89" s="35" t="str">
        <x:v>e6a8adcd7331b1036186a76b3190cd5746b58d89e84e5a6aa07a25860b760eb2</x:v>
      </x:c>
      <x:c r="Y89" s="36" t="b">
        <x:v>1</x:v>
      </x:c>
      <x:c r="Z89" s="36" t="b">
        <x:v>1</x:v>
      </x:c>
      <x:c r="AA89" s="35" t="str">
        <x:v>HTTP 200 反爬占位页</x:v>
      </x:c>
      <x:c r="AB89" s="35" t="str"/>
      <x:c r="AC89" s="35" t="str">
        <x:v>equipment-contact-05.png</x:v>
      </x:c>
      <x:c r="AD89" s="35" t="str">
        <x:v>第2行第3列</x:v>
      </x:c>
      <x:c r="AE89" s="35" t="str">
        <x:v>逐项可见；未见空白、破损、异常裁切或相邻错位</x:v>
      </x:c>
      <x:c r="AF89" s="35" t="str">
        <x:v>同图多ID；识别时必须保留CandidateIds/Unknown，不得强收敛</x:v>
      </x:c>
      <x:c r="AG89" s="35" t="str">
        <x:v>BWIKI oldid=99085+PatchWiki；米游社官方资料仅提供玩法或少量条目补充</x:v>
      </x:c>
      <x:c r="AH89" s="35" t="str">
        <x:v>仅凭图标无法区分本簇具体ID</x:v>
      </x:c>
      <x:c r="AI89" s="40" t="str">
        <x:f>IF(OR(K89&lt;&gt;L89,M89&lt;&gt;TRUE,Y89&lt;&gt;TRUE,Z89&lt;&gt;TRUE),"冲突",IF(OR(D89="？",D89="？？？"),"分类冲突待确认",IF(N89&gt;1,"图标一致；具体ID不唯一","图标/名称/来源无已发现冲突")))</x:f>
        <x:v>图标一致；具体ID不唯一</x:v>
      </x:c>
    </x:row>
    <x:row r="90" ht="38" customHeight="1">
      <x:c r="A90" s="35" t="n">
        <x:v>89</x:v>
      </x:c>
      <x:c r="B90" s="35" t="str">
        <x:v>currency_wars_equipment_091</x:v>
      </x:c>
      <x:c r="C90" s="35" t="str">
        <x:v>冷笑话引擎•特权</x:v>
      </x:c>
      <x:c r="D90" s="35" t="str">
        <x:v>特权装备</x:v>
      </x:c>
      <x:c r="E90" s="35" t="str">
        <x:v>privileged</x:v>
      </x:c>
      <x:c r="F90" s="35" t="str">
        <x:v>是</x:v>
      </x:c>
      <x:c r="G90" s="35" t="str">
        <x:v>是</x:v>
      </x:c>
      <x:c r="H90" s="35" t="str">
        <x:v>currency_wars_equipment_052</x:v>
      </x:c>
      <x:c r="I90" s="35" t="str"/>
      <x:c r="J90" s="35" t="str">
        <x:v>assets/currency_wars_equipment_icons/currency_wars_equipment_091.png</x:v>
      </x:c>
      <x:c r="K90" s="35" t="str">
        <x:v>8558d839f989cfece0189ce7007c88f6deb48c685f9cfb48fa717f2e85273cc9</x:v>
      </x:c>
      <x:c r="L90" s="35" t="str">
        <x:v>8558d839f989cfece0189ce7007c88f6deb48c685f9cfb48fa717f2e85273cc9</x:v>
      </x:c>
      <x:c r="M90" s="36" t="b">
        <x:v>1</x:v>
      </x:c>
      <x:c r="N90" s="39" t="n">
        <x:f>COUNTIF($L$2:$L$158,L90)</x:f>
        <x:v>2</x:v>
      </x:c>
      <x:c r="O90" s="39" t="str">
        <x:v>052；091</x:v>
      </x:c>
      <x:c r="P90" s="39" t="str">
        <x:v>冷笑话引擎；冷笑话引擎•特权</x:v>
      </x:c>
      <x:c r="Q90" s="35" t="n">
        <x:v>32541</x:v>
      </x:c>
      <x:c r="R90" s="35" t="n">
        <x:v>128</x:v>
      </x:c>
      <x:c r="S90" s="35" t="n">
        <x:v>128</x:v>
      </x:c>
      <x:c r="T90" s="35" t="str">
        <x:v>https://patchwiki.biligame.com/images/sr/0/00/7slh4vr9sj62l96ejejxu2emvixd77o.png</x:v>
      </x:c>
      <x:c r="U90" s="35" t="str">
        <x:v>https://wiki.biligame.com/sr/%E5%86%B7%E7%AC%91%E8%AF%9D%E5%BC%95%E6%93%8E%E2%80%A2%E7%89%B9%E6%9D%83</x:v>
      </x:c>
      <x:c r="V90" s="35" t="n">
        <x:v>99085</x:v>
      </x:c>
      <x:c r="W90" s="35" t="n">
        <x:v>200</x:v>
      </x:c>
      <x:c r="X90" s="35" t="str">
        <x:v>8558d839f989cfece0189ce7007c88f6deb48c685f9cfb48fa717f2e85273cc9</x:v>
      </x:c>
      <x:c r="Y90" s="36" t="b">
        <x:v>1</x:v>
      </x:c>
      <x:c r="Z90" s="36" t="b">
        <x:v>1</x:v>
      </x:c>
      <x:c r="AA90" s="35" t="str">
        <x:v>HTTP 200 反爬占位页</x:v>
      </x:c>
      <x:c r="AB90" s="35" t="str"/>
      <x:c r="AC90" s="35" t="str">
        <x:v>equipment-contact-05.png</x:v>
      </x:c>
      <x:c r="AD90" s="35" t="str">
        <x:v>第2行第4列</x:v>
      </x:c>
      <x:c r="AE90" s="35" t="str">
        <x:v>逐项可见；未见空白、破损、异常裁切或相邻错位</x:v>
      </x:c>
      <x:c r="AF90" s="35" t="str">
        <x:v>同图多ID；识别时必须保留CandidateIds/Unknown，不得强收敛</x:v>
      </x:c>
      <x:c r="AG90" s="35" t="str">
        <x:v>BWIKI oldid=99085+PatchWiki；米游社官方资料仅提供玩法或少量条目补充</x:v>
      </x:c>
      <x:c r="AH90" s="35" t="str">
        <x:v>仅凭图标无法区分本簇具体ID</x:v>
      </x:c>
      <x:c r="AI90" s="40" t="str">
        <x:f>IF(OR(K90&lt;&gt;L90,M90&lt;&gt;TRUE,Y90&lt;&gt;TRUE,Z90&lt;&gt;TRUE),"冲突",IF(OR(D90="？",D90="？？？"),"分类冲突待确认",IF(N90&gt;1,"图标一致；具体ID不唯一","图标/名称/来源无已发现冲突")))</x:f>
        <x:v>图标一致；具体ID不唯一</x:v>
      </x:c>
    </x:row>
    <x:row r="91" ht="38" customHeight="1">
      <x:c r="A91" s="35" t="n">
        <x:v>90</x:v>
      </x:c>
      <x:c r="B91" s="35" t="str">
        <x:v>currency_wars_equipment_092</x:v>
      </x:c>
      <x:c r="C91" s="35" t="str">
        <x:v>动能激发剑•特权</x:v>
      </x:c>
      <x:c r="D91" s="35" t="str">
        <x:v>特权装备</x:v>
      </x:c>
      <x:c r="E91" s="35" t="str">
        <x:v>privileged</x:v>
      </x:c>
      <x:c r="F91" s="35" t="str">
        <x:v>是</x:v>
      </x:c>
      <x:c r="G91" s="35" t="str">
        <x:v>是</x:v>
      </x:c>
      <x:c r="H91" s="35" t="str">
        <x:v>currency_wars_equipment_053</x:v>
      </x:c>
      <x:c r="I91" s="35" t="str"/>
      <x:c r="J91" s="35" t="str">
        <x:v>assets/currency_wars_equipment_icons/currency_wars_equipment_092.png</x:v>
      </x:c>
      <x:c r="K91" s="35" t="str">
        <x:v>359b80002377cf9ecec3020db298d7dd3210dd5a6041da94304099da2f042d58</x:v>
      </x:c>
      <x:c r="L91" s="35" t="str">
        <x:v>359b80002377cf9ecec3020db298d7dd3210dd5a6041da94304099da2f042d58</x:v>
      </x:c>
      <x:c r="M91" s="36" t="b">
        <x:v>1</x:v>
      </x:c>
      <x:c r="N91" s="39" t="n">
        <x:f>COUNTIF($L$2:$L$158,L91)</x:f>
        <x:v>2</x:v>
      </x:c>
      <x:c r="O91" s="39" t="str">
        <x:v>053；092</x:v>
      </x:c>
      <x:c r="P91" s="39" t="str">
        <x:v>动能激发剑；动能激发剑•特权</x:v>
      </x:c>
      <x:c r="Q91" s="35" t="n">
        <x:v>29689</x:v>
      </x:c>
      <x:c r="R91" s="35" t="n">
        <x:v>128</x:v>
      </x:c>
      <x:c r="S91" s="35" t="n">
        <x:v>128</x:v>
      </x:c>
      <x:c r="T91" s="35" t="str">
        <x:v>https://patchwiki.biligame.com/images/sr/5/53/pfnwa5i7hlxk6ziktp34zphh6s7h757.png</x:v>
      </x:c>
      <x:c r="U91" s="35" t="str">
        <x:v>https://wiki.biligame.com/sr/%E5%8A%A8%E8%83%BD%E6%BF%80%E5%8F%91%E5%89%91%E2%80%A2%E7%89%B9%E6%9D%83</x:v>
      </x:c>
      <x:c r="V91" s="35" t="n">
        <x:v>99085</x:v>
      </x:c>
      <x:c r="W91" s="35" t="n">
        <x:v>200</x:v>
      </x:c>
      <x:c r="X91" s="35" t="str">
        <x:v>359b80002377cf9ecec3020db298d7dd3210dd5a6041da94304099da2f042d58</x:v>
      </x:c>
      <x:c r="Y91" s="36" t="b">
        <x:v>1</x:v>
      </x:c>
      <x:c r="Z91" s="36" t="b">
        <x:v>1</x:v>
      </x:c>
      <x:c r="AA91" s="35" t="str">
        <x:v>HTTP 200 反爬占位页</x:v>
      </x:c>
      <x:c r="AB91" s="35" t="str"/>
      <x:c r="AC91" s="35" t="str">
        <x:v>equipment-contact-05.png</x:v>
      </x:c>
      <x:c r="AD91" s="35" t="str">
        <x:v>第2行第5列</x:v>
      </x:c>
      <x:c r="AE91" s="35" t="str">
        <x:v>逐项可见；未见空白、破损、异常裁切或相邻错位</x:v>
      </x:c>
      <x:c r="AF91" s="35" t="str">
        <x:v>同图多ID；识别时必须保留CandidateIds/Unknown，不得强收敛</x:v>
      </x:c>
      <x:c r="AG91" s="35" t="str">
        <x:v>BWIKI oldid=99085+PatchWiki；米游社官方资料仅提供玩法或少量条目补充</x:v>
      </x:c>
      <x:c r="AH91" s="35" t="str">
        <x:v>仅凭图标无法区分本簇具体ID</x:v>
      </x:c>
      <x:c r="AI91" s="40" t="str">
        <x:f>IF(OR(K91&lt;&gt;L91,M91&lt;&gt;TRUE,Y91&lt;&gt;TRUE,Z91&lt;&gt;TRUE),"冲突",IF(OR(D91="？",D91="？？？"),"分类冲突待确认",IF(N91&gt;1,"图标一致；具体ID不唯一","图标/名称/来源无已发现冲突")))</x:f>
        <x:v>图标一致；具体ID不唯一</x:v>
      </x:c>
    </x:row>
    <x:row r="92" ht="38" customHeight="1">
      <x:c r="A92" s="35" t="n">
        <x:v>91</x:v>
      </x:c>
      <x:c r="B92" s="35" t="str">
        <x:v>currency_wars_equipment_093</x:v>
      </x:c>
      <x:c r="C92" s="35" t="str">
        <x:v>反卫星狙击枪•特权</x:v>
      </x:c>
      <x:c r="D92" s="35" t="str">
        <x:v>特权装备</x:v>
      </x:c>
      <x:c r="E92" s="35" t="str">
        <x:v>privileged</x:v>
      </x:c>
      <x:c r="F92" s="35" t="str">
        <x:v>是</x:v>
      </x:c>
      <x:c r="G92" s="35" t="str">
        <x:v>是</x:v>
      </x:c>
      <x:c r="H92" s="35" t="str">
        <x:v>currency_wars_equipment_054</x:v>
      </x:c>
      <x:c r="I92" s="35" t="str"/>
      <x:c r="J92" s="35" t="str">
        <x:v>assets/currency_wars_equipment_icons/currency_wars_equipment_093.png</x:v>
      </x:c>
      <x:c r="K92" s="35" t="str">
        <x:v>d56460779d29bc6f8e2169276f523f28c6e341ce95aa0905c903bd5e8cf415f5</x:v>
      </x:c>
      <x:c r="L92" s="35" t="str">
        <x:v>d56460779d29bc6f8e2169276f523f28c6e341ce95aa0905c903bd5e8cf415f5</x:v>
      </x:c>
      <x:c r="M92" s="36" t="b">
        <x:v>1</x:v>
      </x:c>
      <x:c r="N92" s="39" t="n">
        <x:f>COUNTIF($L$2:$L$158,L92)</x:f>
        <x:v>2</x:v>
      </x:c>
      <x:c r="O92" s="39" t="str">
        <x:v>054；093</x:v>
      </x:c>
      <x:c r="P92" s="39" t="str">
        <x:v>反卫星狙击枪；反卫星狙击枪•特权</x:v>
      </x:c>
      <x:c r="Q92" s="35" t="n">
        <x:v>32182</x:v>
      </x:c>
      <x:c r="R92" s="35" t="n">
        <x:v>128</x:v>
      </x:c>
      <x:c r="S92" s="35" t="n">
        <x:v>128</x:v>
      </x:c>
      <x:c r="T92" s="35" t="str">
        <x:v>https://patchwiki.biligame.com/images/sr/0/0f/ih4obknjsrxnsotbtbgko1mtl6jtg6v.png</x:v>
      </x:c>
      <x:c r="U92" s="35" t="str">
        <x:v>https://wiki.biligame.com/sr/%E5%8F%8D%E5%8D%AB%E6%98%9F%E7%8B%99%E5%87%BB%E6%9E%AA%E2%80%A2%E7%89%B9%E6%9D%83</x:v>
      </x:c>
      <x:c r="V92" s="35" t="n">
        <x:v>99085</x:v>
      </x:c>
      <x:c r="W92" s="35" t="n">
        <x:v>200</x:v>
      </x:c>
      <x:c r="X92" s="35" t="str">
        <x:v>d56460779d29bc6f8e2169276f523f28c6e341ce95aa0905c903bd5e8cf415f5</x:v>
      </x:c>
      <x:c r="Y92" s="36" t="b">
        <x:v>1</x:v>
      </x:c>
      <x:c r="Z92" s="36" t="b">
        <x:v>1</x:v>
      </x:c>
      <x:c r="AA92" s="35" t="str">
        <x:v>HTTP 200 反爬占位页</x:v>
      </x:c>
      <x:c r="AB92" s="35" t="str"/>
      <x:c r="AC92" s="35" t="str">
        <x:v>equipment-contact-05.png</x:v>
      </x:c>
      <x:c r="AD92" s="35" t="str">
        <x:v>第3行第1列</x:v>
      </x:c>
      <x:c r="AE92" s="35" t="str">
        <x:v>逐项可见；未见空白、破损、异常裁切或相邻错位</x:v>
      </x:c>
      <x:c r="AF92" s="35" t="str">
        <x:v>同图多ID；识别时必须保留CandidateIds/Unknown，不得强收敛</x:v>
      </x:c>
      <x:c r="AG92" s="35" t="str">
        <x:v>BWIKI oldid=99085+PatchWiki；米游社官方资料仅提供玩法或少量条目补充</x:v>
      </x:c>
      <x:c r="AH92" s="35" t="str">
        <x:v>仅凭图标无法区分本簇具体ID</x:v>
      </x:c>
      <x:c r="AI92" s="40" t="str">
        <x:f>IF(OR(K92&lt;&gt;L92,M92&lt;&gt;TRUE,Y92&lt;&gt;TRUE,Z92&lt;&gt;TRUE),"冲突",IF(OR(D92="？",D92="？？？"),"分类冲突待确认",IF(N92&gt;1,"图标一致；具体ID不唯一","图标/名称/来源无已发现冲突")))</x:f>
        <x:v>图标一致；具体ID不唯一</x:v>
      </x:c>
    </x:row>
    <x:row r="93" ht="38" customHeight="1">
      <x:c r="A93" s="35" t="n">
        <x:v>92</x:v>
      </x:c>
      <x:c r="B93" s="35" t="str">
        <x:v>currency_wars_equipment_094</x:v>
      </x:c>
      <x:c r="C93" s="35" t="str">
        <x:v>反重力皮靴•特权</x:v>
      </x:c>
      <x:c r="D93" s="35" t="str">
        <x:v>特权装备</x:v>
      </x:c>
      <x:c r="E93" s="35" t="str">
        <x:v>privileged</x:v>
      </x:c>
      <x:c r="F93" s="35" t="str">
        <x:v>是</x:v>
      </x:c>
      <x:c r="G93" s="35" t="str">
        <x:v>是</x:v>
      </x:c>
      <x:c r="H93" s="35" t="str">
        <x:v>currency_wars_equipment_055</x:v>
      </x:c>
      <x:c r="I93" s="35" t="str"/>
      <x:c r="J93" s="35" t="str">
        <x:v>assets/currency_wars_equipment_icons/currency_wars_equipment_094.png</x:v>
      </x:c>
      <x:c r="K93" s="35" t="str">
        <x:v>4ed72ae50d0fe4badc8ed4aa14681ede39657bbc080e4bc89bc2d18d90f145a3</x:v>
      </x:c>
      <x:c r="L93" s="35" t="str">
        <x:v>4ed72ae50d0fe4badc8ed4aa14681ede39657bbc080e4bc89bc2d18d90f145a3</x:v>
      </x:c>
      <x:c r="M93" s="36" t="b">
        <x:v>1</x:v>
      </x:c>
      <x:c r="N93" s="39" t="n">
        <x:f>COUNTIF($L$2:$L$158,L93)</x:f>
        <x:v>2</x:v>
      </x:c>
      <x:c r="O93" s="39" t="str">
        <x:v>055；094</x:v>
      </x:c>
      <x:c r="P93" s="39" t="str">
        <x:v>反重力皮靴；反重力皮靴•特权</x:v>
      </x:c>
      <x:c r="Q93" s="35" t="n">
        <x:v>27496</x:v>
      </x:c>
      <x:c r="R93" s="35" t="n">
        <x:v>128</x:v>
      </x:c>
      <x:c r="S93" s="35" t="n">
        <x:v>128</x:v>
      </x:c>
      <x:c r="T93" s="35" t="str">
        <x:v>https://patchwiki.biligame.com/images/sr/9/9d/cvbi5e5z4thqgs311yf2j5ln6m5p89m.png</x:v>
      </x:c>
      <x:c r="U93" s="35" t="str">
        <x:v>https://wiki.biligame.com/sr/%E5%8F%8D%E9%87%8D%E5%8A%9B%E7%9A%AE%E9%9D%B4%E2%80%A2%E7%89%B9%E6%9D%83</x:v>
      </x:c>
      <x:c r="V93" s="35" t="n">
        <x:v>99085</x:v>
      </x:c>
      <x:c r="W93" s="35" t="n">
        <x:v>200</x:v>
      </x:c>
      <x:c r="X93" s="35" t="str">
        <x:v>4ed72ae50d0fe4badc8ed4aa14681ede39657bbc080e4bc89bc2d18d90f145a3</x:v>
      </x:c>
      <x:c r="Y93" s="36" t="b">
        <x:v>1</x:v>
      </x:c>
      <x:c r="Z93" s="36" t="b">
        <x:v>1</x:v>
      </x:c>
      <x:c r="AA93" s="35" t="str">
        <x:v>HTTP 200 反爬占位页</x:v>
      </x:c>
      <x:c r="AB93" s="35" t="str"/>
      <x:c r="AC93" s="35" t="str">
        <x:v>equipment-contact-05.png</x:v>
      </x:c>
      <x:c r="AD93" s="35" t="str">
        <x:v>第3行第2列</x:v>
      </x:c>
      <x:c r="AE93" s="35" t="str">
        <x:v>逐项可见；未见空白、破损、异常裁切或相邻错位</x:v>
      </x:c>
      <x:c r="AF93" s="35" t="str">
        <x:v>同图多ID；识别时必须保留CandidateIds/Unknown，不得强收敛</x:v>
      </x:c>
      <x:c r="AG93" s="35" t="str">
        <x:v>BWIKI oldid=99085+PatchWiki；米游社官方资料仅提供玩法或少量条目补充</x:v>
      </x:c>
      <x:c r="AH93" s="35" t="str">
        <x:v>仅凭图标无法区分本簇具体ID</x:v>
      </x:c>
      <x:c r="AI93" s="40" t="str">
        <x:f>IF(OR(K93&lt;&gt;L93,M93&lt;&gt;TRUE,Y93&lt;&gt;TRUE,Z93&lt;&gt;TRUE),"冲突",IF(OR(D93="？",D93="？？？"),"分类冲突待确认",IF(N93&gt;1,"图标一致；具体ID不唯一","图标/名称/来源无已发现冲突")))</x:f>
        <x:v>图标一致；具体ID不唯一</x:v>
      </x:c>
    </x:row>
    <x:row r="94" ht="38" customHeight="1">
      <x:c r="A94" s="35" t="n">
        <x:v>93</x:v>
      </x:c>
      <x:c r="B94" s="35" t="str">
        <x:v>currency_wars_equipment_095</x:v>
      </x:c>
      <x:c r="C94" s="35" t="str">
        <x:v>天基轨道炮•特权</x:v>
      </x:c>
      <x:c r="D94" s="35" t="str">
        <x:v>特权装备</x:v>
      </x:c>
      <x:c r="E94" s="35" t="str">
        <x:v>privileged</x:v>
      </x:c>
      <x:c r="F94" s="35" t="str">
        <x:v>是</x:v>
      </x:c>
      <x:c r="G94" s="35" t="str">
        <x:v>是</x:v>
      </x:c>
      <x:c r="H94" s="35" t="str">
        <x:v>currency_wars_equipment_056</x:v>
      </x:c>
      <x:c r="I94" s="35" t="str"/>
      <x:c r="J94" s="35" t="str">
        <x:v>assets/currency_wars_equipment_icons/currency_wars_equipment_095.png</x:v>
      </x:c>
      <x:c r="K94" s="35" t="str">
        <x:v>99b3abc3f7a8173db5accad10cbc62cf4dce5ea3fec2ed23e2d5f8f57c3ec898</x:v>
      </x:c>
      <x:c r="L94" s="35" t="str">
        <x:v>99b3abc3f7a8173db5accad10cbc62cf4dce5ea3fec2ed23e2d5f8f57c3ec898</x:v>
      </x:c>
      <x:c r="M94" s="36" t="b">
        <x:v>1</x:v>
      </x:c>
      <x:c r="N94" s="39" t="n">
        <x:f>COUNTIF($L$2:$L$158,L94)</x:f>
        <x:v>2</x:v>
      </x:c>
      <x:c r="O94" s="39" t="str">
        <x:v>056；095</x:v>
      </x:c>
      <x:c r="P94" s="39" t="str">
        <x:v>天基轨道炮；天基轨道炮•特权</x:v>
      </x:c>
      <x:c r="Q94" s="35" t="n">
        <x:v>36000</x:v>
      </x:c>
      <x:c r="R94" s="35" t="n">
        <x:v>128</x:v>
      </x:c>
      <x:c r="S94" s="35" t="n">
        <x:v>128</x:v>
      </x:c>
      <x:c r="T94" s="35" t="str">
        <x:v>https://patchwiki.biligame.com/images/sr/4/4a/qv6dvngy31xn8r2eorix1rfc0uu5k4z.png</x:v>
      </x:c>
      <x:c r="U94" s="35" t="str">
        <x:v>https://wiki.biligame.com/sr/%E5%A4%A9%E5%9F%BA%E8%BD%A8%E9%81%93%E7%82%AE%E2%80%A2%E7%89%B9%E6%9D%83</x:v>
      </x:c>
      <x:c r="V94" s="35" t="n">
        <x:v>99085</x:v>
      </x:c>
      <x:c r="W94" s="35" t="n">
        <x:v>200</x:v>
      </x:c>
      <x:c r="X94" s="35" t="str">
        <x:v>99b3abc3f7a8173db5accad10cbc62cf4dce5ea3fec2ed23e2d5f8f57c3ec898</x:v>
      </x:c>
      <x:c r="Y94" s="36" t="b">
        <x:v>1</x:v>
      </x:c>
      <x:c r="Z94" s="36" t="b">
        <x:v>1</x:v>
      </x:c>
      <x:c r="AA94" s="35" t="str">
        <x:v>HTTP 200 反爬占位页</x:v>
      </x:c>
      <x:c r="AB94" s="35" t="str"/>
      <x:c r="AC94" s="35" t="str">
        <x:v>equipment-contact-05.png</x:v>
      </x:c>
      <x:c r="AD94" s="35" t="str">
        <x:v>第3行第3列</x:v>
      </x:c>
      <x:c r="AE94" s="35" t="str">
        <x:v>逐项可见；未见空白、破损、异常裁切或相邻错位</x:v>
      </x:c>
      <x:c r="AF94" s="35" t="str">
        <x:v>同图多ID；识别时必须保留CandidateIds/Unknown，不得强收敛</x:v>
      </x:c>
      <x:c r="AG94" s="35" t="str">
        <x:v>BWIKI oldid=99085+PatchWiki；米游社官方资料仅提供玩法或少量条目补充</x:v>
      </x:c>
      <x:c r="AH94" s="35" t="str">
        <x:v>仅凭图标无法区分本簇具体ID</x:v>
      </x:c>
      <x:c r="AI94" s="40" t="str">
        <x:f>IF(OR(K94&lt;&gt;L94,M94&lt;&gt;TRUE,Y94&lt;&gt;TRUE,Z94&lt;&gt;TRUE),"冲突",IF(OR(D94="？",D94="？？？"),"分类冲突待确认",IF(N94&gt;1,"图标一致；具体ID不唯一","图标/名称/来源无已发现冲突")))</x:f>
        <x:v>图标一致；具体ID不唯一</x:v>
      </x:c>
    </x:row>
    <x:row r="95" ht="38" customHeight="1">
      <x:c r="A95" s="35" t="n">
        <x:v>94</x:v>
      </x:c>
      <x:c r="B95" s="35" t="str">
        <x:v>currency_wars_equipment_096</x:v>
      </x:c>
      <x:c r="C95" s="35" t="str">
        <x:v>很硬的甲•特权</x:v>
      </x:c>
      <x:c r="D95" s="35" t="str">
        <x:v>特权装备</x:v>
      </x:c>
      <x:c r="E95" s="35" t="str">
        <x:v>privileged</x:v>
      </x:c>
      <x:c r="F95" s="35" t="str">
        <x:v>是</x:v>
      </x:c>
      <x:c r="G95" s="35" t="str">
        <x:v>是</x:v>
      </x:c>
      <x:c r="H95" s="35" t="str">
        <x:v>currency_wars_equipment_057</x:v>
      </x:c>
      <x:c r="I95" s="35" t="str"/>
      <x:c r="J95" s="35" t="str">
        <x:v>assets/currency_wars_equipment_icons/currency_wars_equipment_096.png</x:v>
      </x:c>
      <x:c r="K95" s="35" t="str">
        <x:v>fe7118a0d80b31261cc4d653850bc491820b4c1be3ba1dedf59a73cdf8eb8618</x:v>
      </x:c>
      <x:c r="L95" s="35" t="str">
        <x:v>fe7118a0d80b31261cc4d653850bc491820b4c1be3ba1dedf59a73cdf8eb8618</x:v>
      </x:c>
      <x:c r="M95" s="36" t="b">
        <x:v>1</x:v>
      </x:c>
      <x:c r="N95" s="39" t="n">
        <x:f>COUNTIF($L$2:$L$158,L95)</x:f>
        <x:v>2</x:v>
      </x:c>
      <x:c r="O95" s="39" t="str">
        <x:v>057；096</x:v>
      </x:c>
      <x:c r="P95" s="39" t="str">
        <x:v>很硬的甲；很硬的甲•特权</x:v>
      </x:c>
      <x:c r="Q95" s="35" t="n">
        <x:v>29210</x:v>
      </x:c>
      <x:c r="R95" s="35" t="n">
        <x:v>128</x:v>
      </x:c>
      <x:c r="S95" s="35" t="n">
        <x:v>128</x:v>
      </x:c>
      <x:c r="T95" s="35" t="str">
        <x:v>https://patchwiki.biligame.com/images/sr/f/fe/mefj3fu8vx0ri4eb0c103cor4it683j.png</x:v>
      </x:c>
      <x:c r="U95" s="35" t="str">
        <x:v>https://wiki.biligame.com/sr/%E5%BE%88%E7%A1%AC%E7%9A%84%E7%94%B2%E2%80%A2%E7%89%B9%E6%9D%83</x:v>
      </x:c>
      <x:c r="V95" s="35" t="n">
        <x:v>99085</x:v>
      </x:c>
      <x:c r="W95" s="35" t="n">
        <x:v>200</x:v>
      </x:c>
      <x:c r="X95" s="35" t="str">
        <x:v>fe7118a0d80b31261cc4d653850bc491820b4c1be3ba1dedf59a73cdf8eb8618</x:v>
      </x:c>
      <x:c r="Y95" s="36" t="b">
        <x:v>1</x:v>
      </x:c>
      <x:c r="Z95" s="36" t="b">
        <x:v>1</x:v>
      </x:c>
      <x:c r="AA95" s="35" t="str">
        <x:v>HTTP 200 反爬占位页</x:v>
      </x:c>
      <x:c r="AB95" s="35" t="str"/>
      <x:c r="AC95" s="35" t="str">
        <x:v>equipment-contact-05.png</x:v>
      </x:c>
      <x:c r="AD95" s="35" t="str">
        <x:v>第3行第4列</x:v>
      </x:c>
      <x:c r="AE95" s="35" t="str">
        <x:v>逐项可见；未见空白、破损、异常裁切或相邻错位</x:v>
      </x:c>
      <x:c r="AF95" s="35" t="str">
        <x:v>同图多ID；识别时必须保留CandidateIds/Unknown，不得强收敛</x:v>
      </x:c>
      <x:c r="AG95" s="35" t="str">
        <x:v>BWIKI oldid=99085+PatchWiki；米游社官方资料仅提供玩法或少量条目补充</x:v>
      </x:c>
      <x:c r="AH95" s="35" t="str">
        <x:v>仅凭图标无法区分本簇具体ID</x:v>
      </x:c>
      <x:c r="AI95" s="40" t="str">
        <x:f>IF(OR(K95&lt;&gt;L95,M95&lt;&gt;TRUE,Y95&lt;&gt;TRUE,Z95&lt;&gt;TRUE),"冲突",IF(OR(D95="？",D95="？？？"),"分类冲突待确认",IF(N95&gt;1,"图标一致；具体ID不唯一","图标/名称/来源无已发现冲突")))</x:f>
        <x:v>图标一致；具体ID不唯一</x:v>
      </x:c>
    </x:row>
    <x:row r="96" ht="38" customHeight="1">
      <x:c r="A96" s="35" t="n">
        <x:v>95</x:v>
      </x:c>
      <x:c r="B96" s="35" t="str">
        <x:v>currency_wars_equipment_097</x:v>
      </x:c>
      <x:c r="C96" s="35" t="str">
        <x:v>战场进化手册•特权</x:v>
      </x:c>
      <x:c r="D96" s="35" t="str">
        <x:v>特权装备</x:v>
      </x:c>
      <x:c r="E96" s="35" t="str">
        <x:v>privileged</x:v>
      </x:c>
      <x:c r="F96" s="35" t="str">
        <x:v>是</x:v>
      </x:c>
      <x:c r="G96" s="35" t="str">
        <x:v>是</x:v>
      </x:c>
      <x:c r="H96" s="35" t="str">
        <x:v>currency_wars_equipment_058</x:v>
      </x:c>
      <x:c r="I96" s="35" t="str"/>
      <x:c r="J96" s="35" t="str">
        <x:v>assets/currency_wars_equipment_icons/currency_wars_equipment_097.png</x:v>
      </x:c>
      <x:c r="K96" s="35" t="str">
        <x:v>ceb9c15bd35a9524343fec674b485fc4c2695d6bc659a7a2ec311d65e9c4e78e</x:v>
      </x:c>
      <x:c r="L96" s="35" t="str">
        <x:v>ceb9c15bd35a9524343fec674b485fc4c2695d6bc659a7a2ec311d65e9c4e78e</x:v>
      </x:c>
      <x:c r="M96" s="36" t="b">
        <x:v>1</x:v>
      </x:c>
      <x:c r="N96" s="39" t="n">
        <x:f>COUNTIF($L$2:$L$158,L96)</x:f>
        <x:v>2</x:v>
      </x:c>
      <x:c r="O96" s="39" t="str">
        <x:v>058；097</x:v>
      </x:c>
      <x:c r="P96" s="39" t="str">
        <x:v>战场进化手册；战场进化手册•特权</x:v>
      </x:c>
      <x:c r="Q96" s="35" t="n">
        <x:v>32644</x:v>
      </x:c>
      <x:c r="R96" s="35" t="n">
        <x:v>128</x:v>
      </x:c>
      <x:c r="S96" s="35" t="n">
        <x:v>128</x:v>
      </x:c>
      <x:c r="T96" s="35" t="str">
        <x:v>https://patchwiki.biligame.com/images/sr/b/b0/0unwdntnbtfeibmr78936k53mwugz26.png</x:v>
      </x:c>
      <x:c r="U96" s="35" t="str">
        <x:v>https://wiki.biligame.com/sr/%E6%88%98%E5%9C%BA%E8%BF%9B%E5%8C%96%E6%89%8B%E5%86%8C%E2%80%A2%E7%89%B9%E6%9D%83</x:v>
      </x:c>
      <x:c r="V96" s="35" t="n">
        <x:v>99085</x:v>
      </x:c>
      <x:c r="W96" s="35" t="n">
        <x:v>200</x:v>
      </x:c>
      <x:c r="X96" s="35" t="str">
        <x:v>ceb9c15bd35a9524343fec674b485fc4c2695d6bc659a7a2ec311d65e9c4e78e</x:v>
      </x:c>
      <x:c r="Y96" s="36" t="b">
        <x:v>1</x:v>
      </x:c>
      <x:c r="Z96" s="36" t="b">
        <x:v>1</x:v>
      </x:c>
      <x:c r="AA96" s="35" t="str">
        <x:v>HTTP 200 反爬占位页</x:v>
      </x:c>
      <x:c r="AB96" s="35" t="str"/>
      <x:c r="AC96" s="35" t="str">
        <x:v>equipment-contact-05.png</x:v>
      </x:c>
      <x:c r="AD96" s="35" t="str">
        <x:v>第3行第5列</x:v>
      </x:c>
      <x:c r="AE96" s="35" t="str">
        <x:v>逐项可见；未见空白、破损、异常裁切或相邻错位</x:v>
      </x:c>
      <x:c r="AF96" s="35" t="str">
        <x:v>同图多ID；识别时必须保留CandidateIds/Unknown，不得强收敛</x:v>
      </x:c>
      <x:c r="AG96" s="35" t="str">
        <x:v>BWIKI oldid=99085+PatchWiki；米游社官方资料仅提供玩法或少量条目补充</x:v>
      </x:c>
      <x:c r="AH96" s="35" t="str">
        <x:v>仅凭图标无法区分本簇具体ID</x:v>
      </x:c>
      <x:c r="AI96" s="40" t="str">
        <x:f>IF(OR(K96&lt;&gt;L96,M96&lt;&gt;TRUE,Y96&lt;&gt;TRUE,Z96&lt;&gt;TRUE),"冲突",IF(OR(D96="？",D96="？？？"),"分类冲突待确认",IF(N96&gt;1,"图标一致；具体ID不唯一","图标/名称/来源无已发现冲突")))</x:f>
        <x:v>图标一致；具体ID不唯一</x:v>
      </x:c>
    </x:row>
    <x:row r="97" ht="38" customHeight="1">
      <x:c r="A97" s="35" t="n">
        <x:v>96</x:v>
      </x:c>
      <x:c r="B97" s="35" t="str">
        <x:v>currency_wars_equipment_098</x:v>
      </x:c>
      <x:c r="C97" s="35" t="str">
        <x:v>掩体生成枪•特权</x:v>
      </x:c>
      <x:c r="D97" s="35" t="str">
        <x:v>特权装备</x:v>
      </x:c>
      <x:c r="E97" s="35" t="str">
        <x:v>privileged</x:v>
      </x:c>
      <x:c r="F97" s="35" t="str">
        <x:v>是</x:v>
      </x:c>
      <x:c r="G97" s="35" t="str">
        <x:v>是</x:v>
      </x:c>
      <x:c r="H97" s="35" t="str">
        <x:v>currency_wars_equipment_059</x:v>
      </x:c>
      <x:c r="I97" s="35" t="str"/>
      <x:c r="J97" s="35" t="str">
        <x:v>assets/currency_wars_equipment_icons/currency_wars_equipment_098.png</x:v>
      </x:c>
      <x:c r="K97" s="35" t="str">
        <x:v>141d508a6fdef1b32355695aae4ce660ce2ab31ddd97f7a353192992fc7b6c83</x:v>
      </x:c>
      <x:c r="L97" s="35" t="str">
        <x:v>141d508a6fdef1b32355695aae4ce660ce2ab31ddd97f7a353192992fc7b6c83</x:v>
      </x:c>
      <x:c r="M97" s="36" t="b">
        <x:v>1</x:v>
      </x:c>
      <x:c r="N97" s="39" t="n">
        <x:f>COUNTIF($L$2:$L$158,L97)</x:f>
        <x:v>2</x:v>
      </x:c>
      <x:c r="O97" s="39" t="str">
        <x:v>059；098</x:v>
      </x:c>
      <x:c r="P97" s="39" t="str">
        <x:v>掩体生成枪；掩体生成枪•特权</x:v>
      </x:c>
      <x:c r="Q97" s="35" t="n">
        <x:v>31931</x:v>
      </x:c>
      <x:c r="R97" s="35" t="n">
        <x:v>128</x:v>
      </x:c>
      <x:c r="S97" s="35" t="n">
        <x:v>128</x:v>
      </x:c>
      <x:c r="T97" s="35" t="str">
        <x:v>https://patchwiki.biligame.com/images/sr/3/3a/tt9chl4txl7z29941avj88i1yoedelf.png</x:v>
      </x:c>
      <x:c r="U97" s="35" t="str">
        <x:v>https://wiki.biligame.com/sr/%E6%8E%A9%E4%BD%93%E7%94%9F%E6%88%90%E6%9E%AA%E2%80%A2%E7%89%B9%E6%9D%83</x:v>
      </x:c>
      <x:c r="V97" s="35" t="n">
        <x:v>99085</x:v>
      </x:c>
      <x:c r="W97" s="35" t="n">
        <x:v>200</x:v>
      </x:c>
      <x:c r="X97" s="35" t="str">
        <x:v>141d508a6fdef1b32355695aae4ce660ce2ab31ddd97f7a353192992fc7b6c83</x:v>
      </x:c>
      <x:c r="Y97" s="36" t="b">
        <x:v>1</x:v>
      </x:c>
      <x:c r="Z97" s="36" t="b">
        <x:v>1</x:v>
      </x:c>
      <x:c r="AA97" s="35" t="str">
        <x:v>HTTP 200 反爬占位页</x:v>
      </x:c>
      <x:c r="AB97" s="35" t="str"/>
      <x:c r="AC97" s="35" t="str">
        <x:v>equipment-contact-05.png</x:v>
      </x:c>
      <x:c r="AD97" s="35" t="str">
        <x:v>第4行第1列</x:v>
      </x:c>
      <x:c r="AE97" s="35" t="str">
        <x:v>逐项可见；未见空白、破损、异常裁切或相邻错位</x:v>
      </x:c>
      <x:c r="AF97" s="35" t="str">
        <x:v>同图多ID；识别时必须保留CandidateIds/Unknown，不得强收敛</x:v>
      </x:c>
      <x:c r="AG97" s="35" t="str">
        <x:v>BWIKI oldid=99085+PatchWiki；米游社官方资料仅提供玩法或少量条目补充</x:v>
      </x:c>
      <x:c r="AH97" s="35" t="str">
        <x:v>仅凭图标无法区分本簇具体ID</x:v>
      </x:c>
      <x:c r="AI97" s="40" t="str">
        <x:f>IF(OR(K97&lt;&gt;L97,M97&lt;&gt;TRUE,Y97&lt;&gt;TRUE,Z97&lt;&gt;TRUE),"冲突",IF(OR(D97="？",D97="？？？"),"分类冲突待确认",IF(N97&gt;1,"图标一致；具体ID不唯一","图标/名称/来源无已发现冲突")))</x:f>
        <x:v>图标一致；具体ID不唯一</x:v>
      </x:c>
    </x:row>
    <x:row r="98" ht="38" customHeight="1">
      <x:c r="A98" s="35" t="n">
        <x:v>97</x:v>
      </x:c>
      <x:c r="B98" s="35" t="str">
        <x:v>currency_wars_equipment_099</x:v>
      </x:c>
      <x:c r="C98" s="35" t="str">
        <x:v>斩首行动•特权</x:v>
      </x:c>
      <x:c r="D98" s="35" t="str">
        <x:v>特权装备</x:v>
      </x:c>
      <x:c r="E98" s="35" t="str">
        <x:v>privileged</x:v>
      </x:c>
      <x:c r="F98" s="35" t="str">
        <x:v>是</x:v>
      </x:c>
      <x:c r="G98" s="35" t="str">
        <x:v>是</x:v>
      </x:c>
      <x:c r="H98" s="35" t="str">
        <x:v>currency_wars_equipment_060</x:v>
      </x:c>
      <x:c r="I98" s="35" t="str"/>
      <x:c r="J98" s="35" t="str">
        <x:v>assets/currency_wars_equipment_icons/currency_wars_equipment_099.png</x:v>
      </x:c>
      <x:c r="K98" s="35" t="str">
        <x:v>b0adf69dddd5d0a23fdd0fea212c0b83a830ed01a268fbdddcc3f9825bfbc7a5</x:v>
      </x:c>
      <x:c r="L98" s="35" t="str">
        <x:v>b0adf69dddd5d0a23fdd0fea212c0b83a830ed01a268fbdddcc3f9825bfbc7a5</x:v>
      </x:c>
      <x:c r="M98" s="36" t="b">
        <x:v>1</x:v>
      </x:c>
      <x:c r="N98" s="39" t="n">
        <x:f>COUNTIF($L$2:$L$158,L98)</x:f>
        <x:v>4</x:v>
      </x:c>
      <x:c r="O98" s="39" t="str">
        <x:v>060；099；144；147</x:v>
      </x:c>
      <x:c r="P98" s="39" t="str">
        <x:v>斩首行动；斩首行动•特权；极•白昼•斩首行动；白昼•斩首行动</x:v>
      </x:c>
      <x:c r="Q98" s="35" t="n">
        <x:v>31190</x:v>
      </x:c>
      <x:c r="R98" s="35" t="n">
        <x:v>128</x:v>
      </x:c>
      <x:c r="S98" s="35" t="n">
        <x:v>128</x:v>
      </x:c>
      <x:c r="T98" s="35" t="str">
        <x:v>https://patchwiki.biligame.com/images/sr/d/dc/pz3qe0xci2okxgu51qyp9zur7ejpert.png</x:v>
      </x:c>
      <x:c r="U98" s="35" t="str">
        <x:v>https://wiki.biligame.com/sr/%E6%96%A9%E9%A6%96%E8%A1%8C%E5%8A%A8%E2%80%A2%E7%89%B9%E6%9D%83</x:v>
      </x:c>
      <x:c r="V98" s="35" t="n">
        <x:v>99085</x:v>
      </x:c>
      <x:c r="W98" s="35" t="n">
        <x:v>200</x:v>
      </x:c>
      <x:c r="X98" s="35" t="str">
        <x:v>b0adf69dddd5d0a23fdd0fea212c0b83a830ed01a268fbdddcc3f9825bfbc7a5</x:v>
      </x:c>
      <x:c r="Y98" s="36" t="b">
        <x:v>1</x:v>
      </x:c>
      <x:c r="Z98" s="36" t="b">
        <x:v>1</x:v>
      </x:c>
      <x:c r="AA98" s="35" t="str">
        <x:v>HTTP 200 反爬占位页</x:v>
      </x:c>
      <x:c r="AB98" s="35" t="str"/>
      <x:c r="AC98" s="35" t="str">
        <x:v>equipment-contact-05.png</x:v>
      </x:c>
      <x:c r="AD98" s="35" t="str">
        <x:v>第4行第2列</x:v>
      </x:c>
      <x:c r="AE98" s="35" t="str">
        <x:v>逐项可见；未见空白、破损、异常裁切或相邻错位</x:v>
      </x:c>
      <x:c r="AF98" s="35" t="str">
        <x:v>同图多ID；识别时必须保留CandidateIds/Unknown，不得强收敛</x:v>
      </x:c>
      <x:c r="AG98" s="35" t="str">
        <x:v>BWIKI oldid=99085+PatchWiki；米游社官方资料仅提供玩法或少量条目补充</x:v>
      </x:c>
      <x:c r="AH98" s="35" t="str">
        <x:v>仅凭图标无法区分本簇具体ID</x:v>
      </x:c>
      <x:c r="AI98" s="40" t="str">
        <x:f>IF(OR(K98&lt;&gt;L98,M98&lt;&gt;TRUE,Y98&lt;&gt;TRUE,Z98&lt;&gt;TRUE),"冲突",IF(OR(D98="？",D98="？？？"),"分类冲突待确认",IF(N98&gt;1,"图标一致；具体ID不唯一","图标/名称/来源无已发现冲突")))</x:f>
        <x:v>图标一致；具体ID不唯一</x:v>
      </x:c>
    </x:row>
    <x:row r="99" ht="38" customHeight="1">
      <x:c r="A99" s="35" t="n">
        <x:v>98</x:v>
      </x:c>
      <x:c r="B99" s="35" t="str">
        <x:v>currency_wars_equipment_100</x:v>
      </x:c>
      <x:c r="C99" s="35" t="str">
        <x:v>杀红眼•特权</x:v>
      </x:c>
      <x:c r="D99" s="35" t="str">
        <x:v>特权装备</x:v>
      </x:c>
      <x:c r="E99" s="35" t="str">
        <x:v>privileged</x:v>
      </x:c>
      <x:c r="F99" s="35" t="str">
        <x:v>是</x:v>
      </x:c>
      <x:c r="G99" s="35" t="str">
        <x:v>是</x:v>
      </x:c>
      <x:c r="H99" s="35" t="str">
        <x:v>currency_wars_equipment_061</x:v>
      </x:c>
      <x:c r="I99" s="35" t="str"/>
      <x:c r="J99" s="35" t="str">
        <x:v>assets/currency_wars_equipment_icons/currency_wars_equipment_100.png</x:v>
      </x:c>
      <x:c r="K99" s="35" t="str">
        <x:v>f521d20bc46c8e46893fa4ebed01e15fdc6732e627607eaaf062680cad852b7b</x:v>
      </x:c>
      <x:c r="L99" s="35" t="str">
        <x:v>f521d20bc46c8e46893fa4ebed01e15fdc6732e627607eaaf062680cad852b7b</x:v>
      </x:c>
      <x:c r="M99" s="36" t="b">
        <x:v>1</x:v>
      </x:c>
      <x:c r="N99" s="39" t="n">
        <x:f>COUNTIF($L$2:$L$158,L99)</x:f>
        <x:v>2</x:v>
      </x:c>
      <x:c r="O99" s="39" t="str">
        <x:v>061；100</x:v>
      </x:c>
      <x:c r="P99" s="39" t="str">
        <x:v>杀红眼；杀红眼•特权</x:v>
      </x:c>
      <x:c r="Q99" s="35" t="n">
        <x:v>29300</x:v>
      </x:c>
      <x:c r="R99" s="35" t="n">
        <x:v>128</x:v>
      </x:c>
      <x:c r="S99" s="35" t="n">
        <x:v>128</x:v>
      </x:c>
      <x:c r="T99" s="35" t="str">
        <x:v>https://patchwiki.biligame.com/images/sr/0/06/c8u8zqx3igju3acfb4lw5inlon0t9rq.png</x:v>
      </x:c>
      <x:c r="U99" s="35" t="str">
        <x:v>https://wiki.biligame.com/sr/%E6%9D%80%E7%BA%A2%E7%9C%BC%E2%80%A2%E7%89%B9%E6%9D%83</x:v>
      </x:c>
      <x:c r="V99" s="35" t="n">
        <x:v>99085</x:v>
      </x:c>
      <x:c r="W99" s="35" t="n">
        <x:v>200</x:v>
      </x:c>
      <x:c r="X99" s="35" t="str">
        <x:v>f521d20bc46c8e46893fa4ebed01e15fdc6732e627607eaaf062680cad852b7b</x:v>
      </x:c>
      <x:c r="Y99" s="36" t="b">
        <x:v>1</x:v>
      </x:c>
      <x:c r="Z99" s="36" t="b">
        <x:v>1</x:v>
      </x:c>
      <x:c r="AA99" s="35" t="str">
        <x:v>HTTP 200 反爬占位页</x:v>
      </x:c>
      <x:c r="AB99" s="35" t="str"/>
      <x:c r="AC99" s="35" t="str">
        <x:v>equipment-contact-05.png</x:v>
      </x:c>
      <x:c r="AD99" s="35" t="str">
        <x:v>第4行第3列</x:v>
      </x:c>
      <x:c r="AE99" s="35" t="str">
        <x:v>逐项可见；未见空白、破损、异常裁切或相邻错位</x:v>
      </x:c>
      <x:c r="AF99" s="35" t="str">
        <x:v>同图多ID；识别时必须保留CandidateIds/Unknown，不得强收敛</x:v>
      </x:c>
      <x:c r="AG99" s="35" t="str">
        <x:v>BWIKI oldid=99085+PatchWiki；米游社官方资料仅提供玩法或少量条目补充</x:v>
      </x:c>
      <x:c r="AH99" s="35" t="str">
        <x:v>仅凭图标无法区分本簇具体ID</x:v>
      </x:c>
      <x:c r="AI99" s="40" t="str">
        <x:f>IF(OR(K99&lt;&gt;L99,M99&lt;&gt;TRUE,Y99&lt;&gt;TRUE,Z99&lt;&gt;TRUE),"冲突",IF(OR(D99="？",D99="？？？"),"分类冲突待确认",IF(N99&gt;1,"图标一致；具体ID不唯一","图标/名称/来源无已发现冲突")))</x:f>
        <x:v>图标一致；具体ID不唯一</x:v>
      </x:c>
    </x:row>
    <x:row r="100" ht="38" customHeight="1">
      <x:c r="A100" s="35" t="n">
        <x:v>99</x:v>
      </x:c>
      <x:c r="B100" s="35" t="str">
        <x:v>currency_wars_equipment_101</x:v>
      </x:c>
      <x:c r="C100" s="35" t="str">
        <x:v>步步生花•特权</x:v>
      </x:c>
      <x:c r="D100" s="35" t="str">
        <x:v>特权装备</x:v>
      </x:c>
      <x:c r="E100" s="35" t="str">
        <x:v>privileged</x:v>
      </x:c>
      <x:c r="F100" s="35" t="str">
        <x:v>是</x:v>
      </x:c>
      <x:c r="G100" s="35" t="str">
        <x:v>是</x:v>
      </x:c>
      <x:c r="H100" s="35" t="str">
        <x:v>currency_wars_equipment_062</x:v>
      </x:c>
      <x:c r="I100" s="35" t="str"/>
      <x:c r="J100" s="35" t="str">
        <x:v>assets/currency_wars_equipment_icons/currency_wars_equipment_101.png</x:v>
      </x:c>
      <x:c r="K100" s="35" t="str">
        <x:v>4c8eae7c74f190fa5c1fd125f6edcf48bf821f2363f91e4ab6774e0fbb20b8b7</x:v>
      </x:c>
      <x:c r="L100" s="35" t="str">
        <x:v>4c8eae7c74f190fa5c1fd125f6edcf48bf821f2363f91e4ab6774e0fbb20b8b7</x:v>
      </x:c>
      <x:c r="M100" s="36" t="b">
        <x:v>1</x:v>
      </x:c>
      <x:c r="N100" s="39" t="n">
        <x:f>COUNTIF($L$2:$L$158,L100)</x:f>
        <x:v>2</x:v>
      </x:c>
      <x:c r="O100" s="39" t="str">
        <x:v>062；101</x:v>
      </x:c>
      <x:c r="P100" s="39" t="str">
        <x:v>步步生花；步步生花•特权</x:v>
      </x:c>
      <x:c r="Q100" s="35" t="n">
        <x:v>31263</x:v>
      </x:c>
      <x:c r="R100" s="35" t="n">
        <x:v>128</x:v>
      </x:c>
      <x:c r="S100" s="35" t="n">
        <x:v>128</x:v>
      </x:c>
      <x:c r="T100" s="35" t="str">
        <x:v>https://patchwiki.biligame.com/images/sr/3/39/tp9rcxq8umu91bel9q1dgy0h5any5f3.png</x:v>
      </x:c>
      <x:c r="U100" s="35" t="str">
        <x:v>https://wiki.biligame.com/sr/%E6%AD%A5%E6%AD%A5%E7%94%9F%E8%8A%B1%E2%80%A2%E7%89%B9%E6%9D%83</x:v>
      </x:c>
      <x:c r="V100" s="35" t="n">
        <x:v>99085</x:v>
      </x:c>
      <x:c r="W100" s="35" t="n">
        <x:v>200</x:v>
      </x:c>
      <x:c r="X100" s="35" t="str">
        <x:v>4c8eae7c74f190fa5c1fd125f6edcf48bf821f2363f91e4ab6774e0fbb20b8b7</x:v>
      </x:c>
      <x:c r="Y100" s="36" t="b">
        <x:v>1</x:v>
      </x:c>
      <x:c r="Z100" s="36" t="b">
        <x:v>1</x:v>
      </x:c>
      <x:c r="AA100" s="35" t="str">
        <x:v>HTTP 200 反爬占位页</x:v>
      </x:c>
      <x:c r="AB100" s="35" t="str"/>
      <x:c r="AC100" s="35" t="str">
        <x:v>equipment-contact-05.png</x:v>
      </x:c>
      <x:c r="AD100" s="35" t="str">
        <x:v>第4行第4列</x:v>
      </x:c>
      <x:c r="AE100" s="35" t="str">
        <x:v>逐项可见；未见空白、破损、异常裁切或相邻错位</x:v>
      </x:c>
      <x:c r="AF100" s="35" t="str">
        <x:v>同图多ID；识别时必须保留CandidateIds/Unknown，不得强收敛</x:v>
      </x:c>
      <x:c r="AG100" s="35" t="str">
        <x:v>BWIKI oldid=99085+PatchWiki；米游社官方资料仅提供玩法或少量条目补充</x:v>
      </x:c>
      <x:c r="AH100" s="35" t="str">
        <x:v>仅凭图标无法区分本簇具体ID</x:v>
      </x:c>
      <x:c r="AI100" s="40" t="str">
        <x:f>IF(OR(K100&lt;&gt;L100,M100&lt;&gt;TRUE,Y100&lt;&gt;TRUE,Z100&lt;&gt;TRUE),"冲突",IF(OR(D100="？",D100="？？？"),"分类冲突待确认",IF(N100&gt;1,"图标一致；具体ID不唯一","图标/名称/来源无已发现冲突")))</x:f>
        <x:v>图标一致；具体ID不唯一</x:v>
      </x:c>
    </x:row>
    <x:row r="101" ht="38" customHeight="1">
      <x:c r="A101" s="35" t="n">
        <x:v>100</x:v>
      </x:c>
      <x:c r="B101" s="35" t="str">
        <x:v>currency_wars_equipment_102</x:v>
      </x:c>
      <x:c r="C101" s="35" t="str">
        <x:v>武器大师•特权</x:v>
      </x:c>
      <x:c r="D101" s="35" t="str">
        <x:v>特权装备</x:v>
      </x:c>
      <x:c r="E101" s="35" t="str">
        <x:v>privileged</x:v>
      </x:c>
      <x:c r="F101" s="35" t="str">
        <x:v>是</x:v>
      </x:c>
      <x:c r="G101" s="35" t="str">
        <x:v>是</x:v>
      </x:c>
      <x:c r="H101" s="35" t="str">
        <x:v>currency_wars_equipment_063</x:v>
      </x:c>
      <x:c r="I101" s="35" t="str"/>
      <x:c r="J101" s="35" t="str">
        <x:v>assets/currency_wars_equipment_icons/currency_wars_equipment_102.png</x:v>
      </x:c>
      <x:c r="K101" s="35" t="str">
        <x:v>93348c2a315f9c98e8161bda98add1b8f30ca312fd1ca69d1b26d466f4dfcc06</x:v>
      </x:c>
      <x:c r="L101" s="35" t="str">
        <x:v>93348c2a315f9c98e8161bda98add1b8f30ca312fd1ca69d1b26d466f4dfcc06</x:v>
      </x:c>
      <x:c r="M101" s="36" t="b">
        <x:v>1</x:v>
      </x:c>
      <x:c r="N101" s="39" t="n">
        <x:f>COUNTIF($L$2:$L$158,L101)</x:f>
        <x:v>4</x:v>
      </x:c>
      <x:c r="O101" s="39" t="str">
        <x:v>063；102；145；148</x:v>
      </x:c>
      <x:c r="P101" s="39" t="str">
        <x:v>武器大师；武器大师•特权；极•白昼•武器大师；白昼•武器大师</x:v>
      </x:c>
      <x:c r="Q101" s="35" t="n">
        <x:v>34524</x:v>
      </x:c>
      <x:c r="R101" s="35" t="n">
        <x:v>128</x:v>
      </x:c>
      <x:c r="S101" s="35" t="n">
        <x:v>128</x:v>
      </x:c>
      <x:c r="T101" s="35" t="str">
        <x:v>https://patchwiki.biligame.com/images/sr/6/61/hgt31ij3fy4x37nmhmuads1kd3ffaw1.png</x:v>
      </x:c>
      <x:c r="U101" s="35" t="str">
        <x:v>https://wiki.biligame.com/sr/%E6%AD%A6%E5%99%A8%E5%A4%A7%E5%B8%88%E2%80%A2%E7%89%B9%E6%9D%83</x:v>
      </x:c>
      <x:c r="V101" s="35" t="n">
        <x:v>99085</x:v>
      </x:c>
      <x:c r="W101" s="35" t="n">
        <x:v>200</x:v>
      </x:c>
      <x:c r="X101" s="35" t="str">
        <x:v>93348c2a315f9c98e8161bda98add1b8f30ca312fd1ca69d1b26d466f4dfcc06</x:v>
      </x:c>
      <x:c r="Y101" s="36" t="b">
        <x:v>1</x:v>
      </x:c>
      <x:c r="Z101" s="36" t="b">
        <x:v>1</x:v>
      </x:c>
      <x:c r="AA101" s="35" t="str">
        <x:v>HTTP 200 反爬占位页</x:v>
      </x:c>
      <x:c r="AB101" s="35" t="str"/>
      <x:c r="AC101" s="35" t="str">
        <x:v>equipment-contact-05.png</x:v>
      </x:c>
      <x:c r="AD101" s="35" t="str">
        <x:v>第4行第5列</x:v>
      </x:c>
      <x:c r="AE101" s="35" t="str">
        <x:v>逐项可见；未见空白、破损、异常裁切或相邻错位</x:v>
      </x:c>
      <x:c r="AF101" s="35" t="str">
        <x:v>同图多ID；识别时必须保留CandidateIds/Unknown，不得强收敛</x:v>
      </x:c>
      <x:c r="AG101" s="35" t="str">
        <x:v>BWIKI oldid=99085+PatchWiki；米游社官方资料仅提供玩法或少量条目补充</x:v>
      </x:c>
      <x:c r="AH101" s="35" t="str">
        <x:v>仅凭图标无法区分本簇具体ID</x:v>
      </x:c>
      <x:c r="AI101" s="40" t="str">
        <x:f>IF(OR(K101&lt;&gt;L101,M101&lt;&gt;TRUE,Y101&lt;&gt;TRUE,Z101&lt;&gt;TRUE),"冲突",IF(OR(D101="？",D101="？？？"),"分类冲突待确认",IF(N101&gt;1,"图标一致；具体ID不唯一","图标/名称/来源无已发现冲突")))</x:f>
        <x:v>图标一致；具体ID不唯一</x:v>
      </x:c>
    </x:row>
    <x:row r="102" ht="38" customHeight="1">
      <x:c r="A102" s="35" t="n">
        <x:v>101</x:v>
      </x:c>
      <x:c r="B102" s="35" t="str">
        <x:v>currency_wars_equipment_103</x:v>
      </x:c>
      <x:c r="C102" s="35" t="str">
        <x:v>永动机•特权</x:v>
      </x:c>
      <x:c r="D102" s="35" t="str">
        <x:v>特权装备</x:v>
      </x:c>
      <x:c r="E102" s="35" t="str">
        <x:v>privileged</x:v>
      </x:c>
      <x:c r="F102" s="35" t="str">
        <x:v>是</x:v>
      </x:c>
      <x:c r="G102" s="35" t="str">
        <x:v>是</x:v>
      </x:c>
      <x:c r="H102" s="35" t="str">
        <x:v>currency_wars_equipment_064</x:v>
      </x:c>
      <x:c r="I102" s="35" t="str"/>
      <x:c r="J102" s="35" t="str">
        <x:v>assets/currency_wars_equipment_icons/currency_wars_equipment_103.png</x:v>
      </x:c>
      <x:c r="K102" s="35" t="str">
        <x:v>20f77f28e219c512cc588f109f488b5ea091da115a8a98ad2968abfc39b6ea7e</x:v>
      </x:c>
      <x:c r="L102" s="35" t="str">
        <x:v>20f77f28e219c512cc588f109f488b5ea091da115a8a98ad2968abfc39b6ea7e</x:v>
      </x:c>
      <x:c r="M102" s="36" t="b">
        <x:v>1</x:v>
      </x:c>
      <x:c r="N102" s="39" t="n">
        <x:f>COUNTIF($L$2:$L$158,L102)</x:f>
        <x:v>2</x:v>
      </x:c>
      <x:c r="O102" s="39" t="str">
        <x:v>064；103</x:v>
      </x:c>
      <x:c r="P102" s="39" t="str">
        <x:v>永动机；永动机•特权</x:v>
      </x:c>
      <x:c r="Q102" s="35" t="n">
        <x:v>32428</x:v>
      </x:c>
      <x:c r="R102" s="35" t="n">
        <x:v>128</x:v>
      </x:c>
      <x:c r="S102" s="35" t="n">
        <x:v>128</x:v>
      </x:c>
      <x:c r="T102" s="35" t="str">
        <x:v>https://patchwiki.biligame.com/images/sr/9/90/q757o4d9skctjwjsmnow7zsyexw5le2.png</x:v>
      </x:c>
      <x:c r="U102" s="35" t="str">
        <x:v>https://wiki.biligame.com/sr/%E6%B0%B8%E5%8A%A8%E6%9C%BA%E2%80%A2%E7%89%B9%E6%9D%83</x:v>
      </x:c>
      <x:c r="V102" s="35" t="n">
        <x:v>99085</x:v>
      </x:c>
      <x:c r="W102" s="35" t="n">
        <x:v>200</x:v>
      </x:c>
      <x:c r="X102" s="35" t="str">
        <x:v>20f77f28e219c512cc588f109f488b5ea091da115a8a98ad2968abfc39b6ea7e</x:v>
      </x:c>
      <x:c r="Y102" s="36" t="b">
        <x:v>1</x:v>
      </x:c>
      <x:c r="Z102" s="36" t="b">
        <x:v>1</x:v>
      </x:c>
      <x:c r="AA102" s="35" t="str">
        <x:v>HTTP 200 反爬占位页</x:v>
      </x:c>
      <x:c r="AB102" s="35" t="str"/>
      <x:c r="AC102" s="35" t="str">
        <x:v>equipment-contact-06.png</x:v>
      </x:c>
      <x:c r="AD102" s="35" t="str">
        <x:v>第1行第1列</x:v>
      </x:c>
      <x:c r="AE102" s="35" t="str">
        <x:v>逐项可见；未见空白、破损、异常裁切或相邻错位</x:v>
      </x:c>
      <x:c r="AF102" s="35" t="str">
        <x:v>同图多ID；识别时必须保留CandidateIds/Unknown，不得强收敛</x:v>
      </x:c>
      <x:c r="AG102" s="35" t="str">
        <x:v>BWIKI oldid=99085+PatchWiki；米游社官方资料仅提供玩法或少量条目补充</x:v>
      </x:c>
      <x:c r="AH102" s="35" t="str">
        <x:v>仅凭图标无法区分本簇具体ID</x:v>
      </x:c>
      <x:c r="AI102" s="40" t="str">
        <x:f>IF(OR(K102&lt;&gt;L102,M102&lt;&gt;TRUE,Y102&lt;&gt;TRUE,Z102&lt;&gt;TRUE),"冲突",IF(OR(D102="？",D102="？？？"),"分类冲突待确认",IF(N102&gt;1,"图标一致；具体ID不唯一","图标/名称/来源无已发现冲突")))</x:f>
        <x:v>图标一致；具体ID不唯一</x:v>
      </x:c>
    </x:row>
    <x:row r="103" ht="38" customHeight="1">
      <x:c r="A103" s="35" t="n">
        <x:v>102</x:v>
      </x:c>
      <x:c r="B103" s="35" t="str">
        <x:v>currency_wars_equipment_104</x:v>
      </x:c>
      <x:c r="C103" s="35" t="str">
        <x:v>流星飞翼•特权</x:v>
      </x:c>
      <x:c r="D103" s="35" t="str">
        <x:v>特权装备</x:v>
      </x:c>
      <x:c r="E103" s="35" t="str">
        <x:v>privileged</x:v>
      </x:c>
      <x:c r="F103" s="35" t="str">
        <x:v>是</x:v>
      </x:c>
      <x:c r="G103" s="35" t="str">
        <x:v>是</x:v>
      </x:c>
      <x:c r="H103" s="35" t="str">
        <x:v>currency_wars_equipment_065</x:v>
      </x:c>
      <x:c r="I103" s="35" t="str"/>
      <x:c r="J103" s="35" t="str">
        <x:v>assets/currency_wars_equipment_icons/currency_wars_equipment_104.png</x:v>
      </x:c>
      <x:c r="K103" s="35" t="str">
        <x:v>563ed7f4a54407f1b8ee88e837789e264cb59f4cb17de0460115d5f747796d4b</x:v>
      </x:c>
      <x:c r="L103" s="35" t="str">
        <x:v>563ed7f4a54407f1b8ee88e837789e264cb59f4cb17de0460115d5f747796d4b</x:v>
      </x:c>
      <x:c r="M103" s="36" t="b">
        <x:v>1</x:v>
      </x:c>
      <x:c r="N103" s="39" t="n">
        <x:f>COUNTIF($L$2:$L$158,L103)</x:f>
        <x:v>2</x:v>
      </x:c>
      <x:c r="O103" s="39" t="str">
        <x:v>065；104</x:v>
      </x:c>
      <x:c r="P103" s="39" t="str">
        <x:v>流星飞翼；流星飞翼•特权</x:v>
      </x:c>
      <x:c r="Q103" s="35" t="n">
        <x:v>29579</x:v>
      </x:c>
      <x:c r="R103" s="35" t="n">
        <x:v>128</x:v>
      </x:c>
      <x:c r="S103" s="35" t="n">
        <x:v>128</x:v>
      </x:c>
      <x:c r="T103" s="35" t="str">
        <x:v>https://patchwiki.biligame.com/images/sr/f/f0/alrn3tliluloz3vgqjrk499cd0w0da2.png</x:v>
      </x:c>
      <x:c r="U103" s="35" t="str">
        <x:v>https://wiki.biligame.com/sr/%E6%B5%81%E6%98%9F%E9%A3%9E%E7%BF%BC%E2%80%A2%E7%89%B9%E6%9D%83</x:v>
      </x:c>
      <x:c r="V103" s="35" t="n">
        <x:v>99085</x:v>
      </x:c>
      <x:c r="W103" s="35" t="n">
        <x:v>200</x:v>
      </x:c>
      <x:c r="X103" s="35" t="str">
        <x:v>563ed7f4a54407f1b8ee88e837789e264cb59f4cb17de0460115d5f747796d4b</x:v>
      </x:c>
      <x:c r="Y103" s="36" t="b">
        <x:v>1</x:v>
      </x:c>
      <x:c r="Z103" s="36" t="b">
        <x:v>1</x:v>
      </x:c>
      <x:c r="AA103" s="35" t="str">
        <x:v>HTTP 200 反爬占位页</x:v>
      </x:c>
      <x:c r="AB103" s="35" t="str"/>
      <x:c r="AC103" s="35" t="str">
        <x:v>equipment-contact-06.png</x:v>
      </x:c>
      <x:c r="AD103" s="35" t="str">
        <x:v>第1行第2列</x:v>
      </x:c>
      <x:c r="AE103" s="35" t="str">
        <x:v>逐项可见；未见空白、破损、异常裁切或相邻错位</x:v>
      </x:c>
      <x:c r="AF103" s="35" t="str">
        <x:v>同图多ID；识别时必须保留CandidateIds/Unknown，不得强收敛</x:v>
      </x:c>
      <x:c r="AG103" s="35" t="str">
        <x:v>BWIKI oldid=99085+PatchWiki；米游社官方资料仅提供玩法或少量条目补充</x:v>
      </x:c>
      <x:c r="AH103" s="35" t="str">
        <x:v>仅凭图标无法区分本簇具体ID</x:v>
      </x:c>
      <x:c r="AI103" s="40" t="str">
        <x:f>IF(OR(K103&lt;&gt;L103,M103&lt;&gt;TRUE,Y103&lt;&gt;TRUE,Z103&lt;&gt;TRUE),"冲突",IF(OR(D103="？",D103="？？？"),"分类冲突待确认",IF(N103&gt;1,"图标一致；具体ID不唯一","图标/名称/来源无已发现冲突")))</x:f>
        <x:v>图标一致；具体ID不唯一</x:v>
      </x:c>
    </x:row>
    <x:row r="104" ht="38" customHeight="1">
      <x:c r="A104" s="35" t="n">
        <x:v>103</x:v>
      </x:c>
      <x:c r="B104" s="35" t="str">
        <x:v>currency_wars_equipment_105</x:v>
      </x:c>
      <x:c r="C104" s="35" t="str">
        <x:v>火力风暴潮•特权</x:v>
      </x:c>
      <x:c r="D104" s="35" t="str">
        <x:v>特权装备</x:v>
      </x:c>
      <x:c r="E104" s="35" t="str">
        <x:v>privileged</x:v>
      </x:c>
      <x:c r="F104" s="35" t="str">
        <x:v>是</x:v>
      </x:c>
      <x:c r="G104" s="35" t="str">
        <x:v>是</x:v>
      </x:c>
      <x:c r="H104" s="35" t="str">
        <x:v>currency_wars_equipment_066</x:v>
      </x:c>
      <x:c r="I104" s="35" t="str"/>
      <x:c r="J104" s="35" t="str">
        <x:v>assets/currency_wars_equipment_icons/currency_wars_equipment_105.png</x:v>
      </x:c>
      <x:c r="K104" s="35" t="str">
        <x:v>3f53c178daa9ce82877b9e7bf4d39f0dcac781e269e892b800f0551c68d6f548</x:v>
      </x:c>
      <x:c r="L104" s="35" t="str">
        <x:v>3f53c178daa9ce82877b9e7bf4d39f0dcac781e269e892b800f0551c68d6f548</x:v>
      </x:c>
      <x:c r="M104" s="36" t="b">
        <x:v>1</x:v>
      </x:c>
      <x:c r="N104" s="39" t="n">
        <x:f>COUNTIF($L$2:$L$158,L104)</x:f>
        <x:v>2</x:v>
      </x:c>
      <x:c r="O104" s="39" t="str">
        <x:v>066；105</x:v>
      </x:c>
      <x:c r="P104" s="39" t="str">
        <x:v>火力风暴潮；火力风暴潮•特权</x:v>
      </x:c>
      <x:c r="Q104" s="35" t="n">
        <x:v>26355</x:v>
      </x:c>
      <x:c r="R104" s="35" t="n">
        <x:v>128</x:v>
      </x:c>
      <x:c r="S104" s="35" t="n">
        <x:v>128</x:v>
      </x:c>
      <x:c r="T104" s="35" t="str">
        <x:v>https://patchwiki.biligame.com/images/sr/e/e4/procmtsk0qooo58ce92in7h1z2v9tv0.png</x:v>
      </x:c>
      <x:c r="U104" s="35" t="str">
        <x:v>https://wiki.biligame.com/sr/%E7%81%AB%E5%8A%9B%E9%A3%8E%E6%9A%B4%E6%BD%AE%E2%80%A2%E7%89%B9%E6%9D%83</x:v>
      </x:c>
      <x:c r="V104" s="35" t="n">
        <x:v>99085</x:v>
      </x:c>
      <x:c r="W104" s="35" t="n">
        <x:v>200</x:v>
      </x:c>
      <x:c r="X104" s="35" t="str">
        <x:v>3f53c178daa9ce82877b9e7bf4d39f0dcac781e269e892b800f0551c68d6f548</x:v>
      </x:c>
      <x:c r="Y104" s="36" t="b">
        <x:v>1</x:v>
      </x:c>
      <x:c r="Z104" s="36" t="b">
        <x:v>1</x:v>
      </x:c>
      <x:c r="AA104" s="35" t="str">
        <x:v>HTTP 200 反爬占位页</x:v>
      </x:c>
      <x:c r="AB104" s="35" t="str"/>
      <x:c r="AC104" s="35" t="str">
        <x:v>equipment-contact-06.png</x:v>
      </x:c>
      <x:c r="AD104" s="35" t="str">
        <x:v>第1行第3列</x:v>
      </x:c>
      <x:c r="AE104" s="35" t="str">
        <x:v>逐项可见；未见空白、破损、异常裁切或相邻错位</x:v>
      </x:c>
      <x:c r="AF104" s="35" t="str">
        <x:v>同图多ID；识别时必须保留CandidateIds/Unknown，不得强收敛</x:v>
      </x:c>
      <x:c r="AG104" s="35" t="str">
        <x:v>BWIKI oldid=99085+PatchWiki；米游社官方资料仅提供玩法或少量条目补充</x:v>
      </x:c>
      <x:c r="AH104" s="35" t="str">
        <x:v>仅凭图标无法区分本簇具体ID</x:v>
      </x:c>
      <x:c r="AI104" s="40" t="str">
        <x:f>IF(OR(K104&lt;&gt;L104,M104&lt;&gt;TRUE,Y104&lt;&gt;TRUE,Z104&lt;&gt;TRUE),"冲突",IF(OR(D104="？",D104="？？？"),"分类冲突待确认",IF(N104&gt;1,"图标一致；具体ID不唯一","图标/名称/来源无已发现冲突")))</x:f>
        <x:v>图标一致；具体ID不唯一</x:v>
      </x:c>
    </x:row>
    <x:row r="105" ht="38" customHeight="1">
      <x:c r="A105" s="35" t="n">
        <x:v>104</x:v>
      </x:c>
      <x:c r="B105" s="35" t="str">
        <x:v>currency_wars_equipment_106</x:v>
      </x:c>
      <x:c r="C105" s="35" t="str">
        <x:v>热血沸腾拳•特权</x:v>
      </x:c>
      <x:c r="D105" s="35" t="str">
        <x:v>特权装备</x:v>
      </x:c>
      <x:c r="E105" s="35" t="str">
        <x:v>privileged</x:v>
      </x:c>
      <x:c r="F105" s="35" t="str">
        <x:v>是</x:v>
      </x:c>
      <x:c r="G105" s="35" t="str">
        <x:v>是</x:v>
      </x:c>
      <x:c r="H105" s="35" t="str">
        <x:v>currency_wars_equipment_067</x:v>
      </x:c>
      <x:c r="I105" s="35" t="str"/>
      <x:c r="J105" s="35" t="str">
        <x:v>assets/currency_wars_equipment_icons/currency_wars_equipment_106.png</x:v>
      </x:c>
      <x:c r="K105" s="35" t="str">
        <x:v>111a5d051a9c8ceea2486d22098c6f919130418e525d151f6098ce9fa1625389</x:v>
      </x:c>
      <x:c r="L105" s="35" t="str">
        <x:v>111a5d051a9c8ceea2486d22098c6f919130418e525d151f6098ce9fa1625389</x:v>
      </x:c>
      <x:c r="M105" s="36" t="b">
        <x:v>1</x:v>
      </x:c>
      <x:c r="N105" s="39" t="n">
        <x:f>COUNTIF($L$2:$L$158,L105)</x:f>
        <x:v>2</x:v>
      </x:c>
      <x:c r="O105" s="39" t="str">
        <x:v>067；106</x:v>
      </x:c>
      <x:c r="P105" s="39" t="str">
        <x:v>热血沸腾拳；热血沸腾拳•特权</x:v>
      </x:c>
      <x:c r="Q105" s="35" t="n">
        <x:v>32281</x:v>
      </x:c>
      <x:c r="R105" s="35" t="n">
        <x:v>128</x:v>
      </x:c>
      <x:c r="S105" s="35" t="n">
        <x:v>128</x:v>
      </x:c>
      <x:c r="T105" s="35" t="str">
        <x:v>https://patchwiki.biligame.com/images/sr/f/f1/t7w5i6ofsl91u1vognn688cpmp6ubi3.png</x:v>
      </x:c>
      <x:c r="U105" s="35" t="str">
        <x:v>https://wiki.biligame.com/sr/%E7%83%AD%E8%A1%80%E6%B2%B8%E8%85%BE%E6%8B%B3%E2%80%A2%E7%89%B9%E6%9D%83</x:v>
      </x:c>
      <x:c r="V105" s="35" t="n">
        <x:v>99085</x:v>
      </x:c>
      <x:c r="W105" s="35" t="n">
        <x:v>200</x:v>
      </x:c>
      <x:c r="X105" s="35" t="str">
        <x:v>111a5d051a9c8ceea2486d22098c6f919130418e525d151f6098ce9fa1625389</x:v>
      </x:c>
      <x:c r="Y105" s="36" t="b">
        <x:v>1</x:v>
      </x:c>
      <x:c r="Z105" s="36" t="b">
        <x:v>1</x:v>
      </x:c>
      <x:c r="AA105" s="35" t="str">
        <x:v>HTTP 200 反爬占位页</x:v>
      </x:c>
      <x:c r="AB105" s="35" t="str"/>
      <x:c r="AC105" s="35" t="str">
        <x:v>equipment-contact-06.png</x:v>
      </x:c>
      <x:c r="AD105" s="35" t="str">
        <x:v>第1行第4列</x:v>
      </x:c>
      <x:c r="AE105" s="35" t="str">
        <x:v>逐项可见；未见空白、破损、异常裁切或相邻错位</x:v>
      </x:c>
      <x:c r="AF105" s="35" t="str">
        <x:v>同图多ID；识别时必须保留CandidateIds/Unknown，不得强收敛</x:v>
      </x:c>
      <x:c r="AG105" s="35" t="str">
        <x:v>BWIKI oldid=99085+PatchWiki；米游社官方资料仅提供玩法或少量条目补充</x:v>
      </x:c>
      <x:c r="AH105" s="35" t="str">
        <x:v>仅凭图标无法区分本簇具体ID</x:v>
      </x:c>
      <x:c r="AI105" s="40" t="str">
        <x:f>IF(OR(K105&lt;&gt;L105,M105&lt;&gt;TRUE,Y105&lt;&gt;TRUE,Z105&lt;&gt;TRUE),"冲突",IF(OR(D105="？",D105="？？？"),"分类冲突待确认",IF(N105&gt;1,"图标一致；具体ID不唯一","图标/名称/来源无已发现冲突")))</x:f>
        <x:v>图标一致；具体ID不唯一</x:v>
      </x:c>
    </x:row>
    <x:row r="106" ht="38" customHeight="1">
      <x:c r="A106" s="35" t="n">
        <x:v>105</x:v>
      </x:c>
      <x:c r="B106" s="35" t="str">
        <x:v>currency_wars_equipment_107</x:v>
      </x:c>
      <x:c r="C106" s="35" t="str">
        <x:v>物质分解液•特权</x:v>
      </x:c>
      <x:c r="D106" s="35" t="str">
        <x:v>特权装备</x:v>
      </x:c>
      <x:c r="E106" s="35" t="str">
        <x:v>privileged</x:v>
      </x:c>
      <x:c r="F106" s="35" t="str">
        <x:v>是</x:v>
      </x:c>
      <x:c r="G106" s="35" t="str">
        <x:v>是</x:v>
      </x:c>
      <x:c r="H106" s="35" t="str">
        <x:v>currency_wars_equipment_068</x:v>
      </x:c>
      <x:c r="I106" s="35" t="str"/>
      <x:c r="J106" s="35" t="str">
        <x:v>assets/currency_wars_equipment_icons/currency_wars_equipment_107.png</x:v>
      </x:c>
      <x:c r="K106" s="35" t="str">
        <x:v>4204a0b84679223ecf29a6ca036e6aa95957cf6cd33512c64e55e6ae576dbb2e</x:v>
      </x:c>
      <x:c r="L106" s="35" t="str">
        <x:v>4204a0b84679223ecf29a6ca036e6aa95957cf6cd33512c64e55e6ae576dbb2e</x:v>
      </x:c>
      <x:c r="M106" s="36" t="b">
        <x:v>1</x:v>
      </x:c>
      <x:c r="N106" s="39" t="n">
        <x:f>COUNTIF($L$2:$L$158,L106)</x:f>
        <x:v>2</x:v>
      </x:c>
      <x:c r="O106" s="39" t="str">
        <x:v>068；107</x:v>
      </x:c>
      <x:c r="P106" s="39" t="str">
        <x:v>物质分解液；物质分解液•特权</x:v>
      </x:c>
      <x:c r="Q106" s="35" t="n">
        <x:v>25438</x:v>
      </x:c>
      <x:c r="R106" s="35" t="n">
        <x:v>128</x:v>
      </x:c>
      <x:c r="S106" s="35" t="n">
        <x:v>128</x:v>
      </x:c>
      <x:c r="T106" s="35" t="str">
        <x:v>https://patchwiki.biligame.com/images/sr/7/74/owez3qwb6fk9kcaoslr3tz116fhqblr.png</x:v>
      </x:c>
      <x:c r="U106" s="35" t="str">
        <x:v>https://wiki.biligame.com/sr/%E7%89%A9%E8%B4%A8%E5%88%86%E8%A7%A3%E6%B6%B2%E2%80%A2%E7%89%B9%E6%9D%83</x:v>
      </x:c>
      <x:c r="V106" s="35" t="n">
        <x:v>99085</x:v>
      </x:c>
      <x:c r="W106" s="35" t="n">
        <x:v>200</x:v>
      </x:c>
      <x:c r="X106" s="35" t="str">
        <x:v>4204a0b84679223ecf29a6ca036e6aa95957cf6cd33512c64e55e6ae576dbb2e</x:v>
      </x:c>
      <x:c r="Y106" s="36" t="b">
        <x:v>1</x:v>
      </x:c>
      <x:c r="Z106" s="36" t="b">
        <x:v>1</x:v>
      </x:c>
      <x:c r="AA106" s="35" t="str">
        <x:v>HTTP 200 反爬占位页</x:v>
      </x:c>
      <x:c r="AB106" s="35" t="str"/>
      <x:c r="AC106" s="35" t="str">
        <x:v>equipment-contact-06.png</x:v>
      </x:c>
      <x:c r="AD106" s="35" t="str">
        <x:v>第1行第5列</x:v>
      </x:c>
      <x:c r="AE106" s="35" t="str">
        <x:v>逐项可见；未见空白、破损、异常裁切或相邻错位</x:v>
      </x:c>
      <x:c r="AF106" s="35" t="str">
        <x:v>同图多ID；识别时必须保留CandidateIds/Unknown，不得强收敛</x:v>
      </x:c>
      <x:c r="AG106" s="35" t="str">
        <x:v>BWIKI oldid=99085+PatchWiki；米游社官方资料仅提供玩法或少量条目补充</x:v>
      </x:c>
      <x:c r="AH106" s="35" t="str">
        <x:v>仅凭图标无法区分本簇具体ID</x:v>
      </x:c>
      <x:c r="AI106" s="40" t="str">
        <x:f>IF(OR(K106&lt;&gt;L106,M106&lt;&gt;TRUE,Y106&lt;&gt;TRUE,Z106&lt;&gt;TRUE),"冲突",IF(OR(D106="？",D106="？？？"),"分类冲突待确认",IF(N106&gt;1,"图标一致；具体ID不唯一","图标/名称/来源无已发现冲突")))</x:f>
        <x:v>图标一致；具体ID不唯一</x:v>
      </x:c>
    </x:row>
    <x:row r="107" ht="38" customHeight="1">
      <x:c r="A107" s="35" t="n">
        <x:v>106</x:v>
      </x:c>
      <x:c r="B107" s="35" t="str">
        <x:v>currency_wars_equipment_108</x:v>
      </x:c>
      <x:c r="C107" s="35" t="str">
        <x:v>生命之环•特权</x:v>
      </x:c>
      <x:c r="D107" s="35" t="str">
        <x:v>特权装备</x:v>
      </x:c>
      <x:c r="E107" s="35" t="str">
        <x:v>privileged</x:v>
      </x:c>
      <x:c r="F107" s="35" t="str">
        <x:v>是</x:v>
      </x:c>
      <x:c r="G107" s="35" t="str">
        <x:v>是</x:v>
      </x:c>
      <x:c r="H107" s="35" t="str">
        <x:v>currency_wars_equipment_069</x:v>
      </x:c>
      <x:c r="I107" s="35" t="str"/>
      <x:c r="J107" s="35" t="str">
        <x:v>assets/currency_wars_equipment_icons/currency_wars_equipment_108.png</x:v>
      </x:c>
      <x:c r="K107" s="35" t="str">
        <x:v>f61a5944c98c2e3d9db314585345c0e673df145de7ce9ba27cea447c8d9d2220</x:v>
      </x:c>
      <x:c r="L107" s="35" t="str">
        <x:v>f61a5944c98c2e3d9db314585345c0e673df145de7ce9ba27cea447c8d9d2220</x:v>
      </x:c>
      <x:c r="M107" s="36" t="b">
        <x:v>1</x:v>
      </x:c>
      <x:c r="N107" s="39" t="n">
        <x:f>COUNTIF($L$2:$L$158,L107)</x:f>
        <x:v>2</x:v>
      </x:c>
      <x:c r="O107" s="39" t="str">
        <x:v>069；108</x:v>
      </x:c>
      <x:c r="P107" s="39" t="str">
        <x:v>生命之环；生命之环•特权</x:v>
      </x:c>
      <x:c r="Q107" s="35" t="n">
        <x:v>33094</x:v>
      </x:c>
      <x:c r="R107" s="35" t="n">
        <x:v>128</x:v>
      </x:c>
      <x:c r="S107" s="35" t="n">
        <x:v>128</x:v>
      </x:c>
      <x:c r="T107" s="35" t="str">
        <x:v>https://patchwiki.biligame.com/images/sr/b/ba/r6bi8e7h04qglgienze9g5nbz625m97.png</x:v>
      </x:c>
      <x:c r="U107" s="35" t="str">
        <x:v>https://wiki.biligame.com/sr/%E7%94%9F%E5%91%BD%E4%B9%8B%E7%8E%AF%E2%80%A2%E7%89%B9%E6%9D%83</x:v>
      </x:c>
      <x:c r="V107" s="35" t="n">
        <x:v>99085</x:v>
      </x:c>
      <x:c r="W107" s="35" t="n">
        <x:v>200</x:v>
      </x:c>
      <x:c r="X107" s="35" t="str">
        <x:v>f61a5944c98c2e3d9db314585345c0e673df145de7ce9ba27cea447c8d9d2220</x:v>
      </x:c>
      <x:c r="Y107" s="36" t="b">
        <x:v>1</x:v>
      </x:c>
      <x:c r="Z107" s="36" t="b">
        <x:v>1</x:v>
      </x:c>
      <x:c r="AA107" s="35" t="str">
        <x:v>HTTP 200 反爬占位页</x:v>
      </x:c>
      <x:c r="AB107" s="35" t="str"/>
      <x:c r="AC107" s="35" t="str">
        <x:v>equipment-contact-06.png</x:v>
      </x:c>
      <x:c r="AD107" s="35" t="str">
        <x:v>第2行第1列</x:v>
      </x:c>
      <x:c r="AE107" s="35" t="str">
        <x:v>逐项可见；未见空白、破损、异常裁切或相邻错位</x:v>
      </x:c>
      <x:c r="AF107" s="35" t="str">
        <x:v>同图多ID；识别时必须保留CandidateIds/Unknown，不得强收敛</x:v>
      </x:c>
      <x:c r="AG107" s="35" t="str">
        <x:v>BWIKI oldid=99085+PatchWiki；米游社官方资料仅提供玩法或少量条目补充</x:v>
      </x:c>
      <x:c r="AH107" s="35" t="str">
        <x:v>仅凭图标无法区分本簇具体ID</x:v>
      </x:c>
      <x:c r="AI107" s="40" t="str">
        <x:f>IF(OR(K107&lt;&gt;L107,M107&lt;&gt;TRUE,Y107&lt;&gt;TRUE,Z107&lt;&gt;TRUE),"冲突",IF(OR(D107="？",D107="？？？"),"分类冲突待确认",IF(N107&gt;1,"图标一致；具体ID不唯一","图标/名称/来源无已发现冲突")))</x:f>
        <x:v>图标一致；具体ID不唯一</x:v>
      </x:c>
    </x:row>
    <x:row r="108" ht="38" customHeight="1">
      <x:c r="A108" s="35" t="n">
        <x:v>107</x:v>
      </x:c>
      <x:c r="B108" s="35" t="str">
        <x:v>currency_wars_equipment_109</x:v>
      </x:c>
      <x:c r="C108" s="35" t="str">
        <x:v>电光履•特权</x:v>
      </x:c>
      <x:c r="D108" s="35" t="str">
        <x:v>特权装备</x:v>
      </x:c>
      <x:c r="E108" s="35" t="str">
        <x:v>privileged</x:v>
      </x:c>
      <x:c r="F108" s="35" t="str">
        <x:v>是</x:v>
      </x:c>
      <x:c r="G108" s="35" t="str">
        <x:v>是</x:v>
      </x:c>
      <x:c r="H108" s="35" t="str">
        <x:v>currency_wars_equipment_070</x:v>
      </x:c>
      <x:c r="I108" s="35" t="str"/>
      <x:c r="J108" s="35" t="str">
        <x:v>assets/currency_wars_equipment_icons/currency_wars_equipment_109.png</x:v>
      </x:c>
      <x:c r="K108" s="35" t="str">
        <x:v>88a4334ec2c83711532325576281581f338b1b709b968407b0c90458cf2b63b8</x:v>
      </x:c>
      <x:c r="L108" s="35" t="str">
        <x:v>88a4334ec2c83711532325576281581f338b1b709b968407b0c90458cf2b63b8</x:v>
      </x:c>
      <x:c r="M108" s="36" t="b">
        <x:v>1</x:v>
      </x:c>
      <x:c r="N108" s="39" t="n">
        <x:f>COUNTIF($L$2:$L$158,L108)</x:f>
        <x:v>2</x:v>
      </x:c>
      <x:c r="O108" s="39" t="str">
        <x:v>070；109</x:v>
      </x:c>
      <x:c r="P108" s="39" t="str">
        <x:v>电光履；电光履•特权</x:v>
      </x:c>
      <x:c r="Q108" s="35" t="n">
        <x:v>29134</x:v>
      </x:c>
      <x:c r="R108" s="35" t="n">
        <x:v>128</x:v>
      </x:c>
      <x:c r="S108" s="35" t="n">
        <x:v>128</x:v>
      </x:c>
      <x:c r="T108" s="35" t="str">
        <x:v>https://patchwiki.biligame.com/images/sr/3/37/kwytpntq59eppt02fspkrfkxg0zt8h8.png</x:v>
      </x:c>
      <x:c r="U108" s="35" t="str">
        <x:v>https://wiki.biligame.com/sr/%E7%94%B5%E5%85%89%E5%B1%A5%E2%80%A2%E7%89%B9%E6%9D%83</x:v>
      </x:c>
      <x:c r="V108" s="35" t="n">
        <x:v>99085</x:v>
      </x:c>
      <x:c r="W108" s="35" t="n">
        <x:v>200</x:v>
      </x:c>
      <x:c r="X108" s="35" t="str">
        <x:v>88a4334ec2c83711532325576281581f338b1b709b968407b0c90458cf2b63b8</x:v>
      </x:c>
      <x:c r="Y108" s="36" t="b">
        <x:v>1</x:v>
      </x:c>
      <x:c r="Z108" s="36" t="b">
        <x:v>1</x:v>
      </x:c>
      <x:c r="AA108" s="35" t="str">
        <x:v>HTTP 200 反爬占位页</x:v>
      </x:c>
      <x:c r="AB108" s="35" t="str"/>
      <x:c r="AC108" s="35" t="str">
        <x:v>equipment-contact-06.png</x:v>
      </x:c>
      <x:c r="AD108" s="35" t="str">
        <x:v>第2行第2列</x:v>
      </x:c>
      <x:c r="AE108" s="35" t="str">
        <x:v>逐项可见；未见空白、破损、异常裁切或相邻错位</x:v>
      </x:c>
      <x:c r="AF108" s="35" t="str">
        <x:v>同图多ID；识别时必须保留CandidateIds/Unknown，不得强收敛</x:v>
      </x:c>
      <x:c r="AG108" s="35" t="str">
        <x:v>BWIKI oldid=99085+PatchWiki；米游社官方资料仅提供玩法或少量条目补充</x:v>
      </x:c>
      <x:c r="AH108" s="35" t="str">
        <x:v>仅凭图标无法区分本簇具体ID</x:v>
      </x:c>
      <x:c r="AI108" s="40" t="str">
        <x:f>IF(OR(K108&lt;&gt;L108,M108&lt;&gt;TRUE,Y108&lt;&gt;TRUE,Z108&lt;&gt;TRUE),"冲突",IF(OR(D108="？",D108="？？？"),"分类冲突待确认",IF(N108&gt;1,"图标一致；具体ID不唯一","图标/名称/来源无已发现冲突")))</x:f>
        <x:v>图标一致；具体ID不唯一</x:v>
      </x:c>
    </x:row>
    <x:row r="109" ht="38" customHeight="1">
      <x:c r="A109" s="35" t="n">
        <x:v>108</x:v>
      </x:c>
      <x:c r="B109" s="35" t="str">
        <x:v>currency_wars_equipment_110</x:v>
      </x:c>
      <x:c r="C109" s="35" t="str">
        <x:v>电磁弹射器•特权</x:v>
      </x:c>
      <x:c r="D109" s="35" t="str">
        <x:v>特权装备</x:v>
      </x:c>
      <x:c r="E109" s="35" t="str">
        <x:v>privileged</x:v>
      </x:c>
      <x:c r="F109" s="35" t="str">
        <x:v>是</x:v>
      </x:c>
      <x:c r="G109" s="35" t="str">
        <x:v>是</x:v>
      </x:c>
      <x:c r="H109" s="35" t="str">
        <x:v>currency_wars_equipment_071</x:v>
      </x:c>
      <x:c r="I109" s="35" t="str"/>
      <x:c r="J109" s="35" t="str">
        <x:v>assets/currency_wars_equipment_icons/currency_wars_equipment_110.png</x:v>
      </x:c>
      <x:c r="K109" s="35" t="str">
        <x:v>4a5f98d5703c2f8ec46dd348a41161178ef6976ea790711cc3bef4331708ec47</x:v>
      </x:c>
      <x:c r="L109" s="35" t="str">
        <x:v>4a5f98d5703c2f8ec46dd348a41161178ef6976ea790711cc3bef4331708ec47</x:v>
      </x:c>
      <x:c r="M109" s="36" t="b">
        <x:v>1</x:v>
      </x:c>
      <x:c r="N109" s="39" t="n">
        <x:f>COUNTIF($L$2:$L$158,L109)</x:f>
        <x:v>2</x:v>
      </x:c>
      <x:c r="O109" s="39" t="str">
        <x:v>071；110</x:v>
      </x:c>
      <x:c r="P109" s="39" t="str">
        <x:v>电磁弹射器；电磁弹射器•特权</x:v>
      </x:c>
      <x:c r="Q109" s="35" t="n">
        <x:v>32555</x:v>
      </x:c>
      <x:c r="R109" s="35" t="n">
        <x:v>128</x:v>
      </x:c>
      <x:c r="S109" s="35" t="n">
        <x:v>128</x:v>
      </x:c>
      <x:c r="T109" s="35" t="str">
        <x:v>https://patchwiki.biligame.com/images/sr/4/45/ok0fy6uy98drftzv20o7k5djfhbshnv.png</x:v>
      </x:c>
      <x:c r="U109" s="35" t="str">
        <x:v>https://wiki.biligame.com/sr/%E7%94%B5%E7%A3%81%E5%BC%B9%E5%B0%84%E5%99%A8%E2%80%A2%E7%89%B9%E6%9D%83</x:v>
      </x:c>
      <x:c r="V109" s="35" t="n">
        <x:v>99085</x:v>
      </x:c>
      <x:c r="W109" s="35" t="n">
        <x:v>200</x:v>
      </x:c>
      <x:c r="X109" s="35" t="str">
        <x:v>4a5f98d5703c2f8ec46dd348a41161178ef6976ea790711cc3bef4331708ec47</x:v>
      </x:c>
      <x:c r="Y109" s="36" t="b">
        <x:v>1</x:v>
      </x:c>
      <x:c r="Z109" s="36" t="b">
        <x:v>1</x:v>
      </x:c>
      <x:c r="AA109" s="35" t="str">
        <x:v>HTTP 200 反爬占位页</x:v>
      </x:c>
      <x:c r="AB109" s="35" t="str"/>
      <x:c r="AC109" s="35" t="str">
        <x:v>equipment-contact-06.png</x:v>
      </x:c>
      <x:c r="AD109" s="35" t="str">
        <x:v>第2行第3列</x:v>
      </x:c>
      <x:c r="AE109" s="35" t="str">
        <x:v>逐项可见；未见空白、破损、异常裁切或相邻错位</x:v>
      </x:c>
      <x:c r="AF109" s="35" t="str">
        <x:v>同图多ID；识别时必须保留CandidateIds/Unknown，不得强收敛</x:v>
      </x:c>
      <x:c r="AG109" s="35" t="str">
        <x:v>BWIKI oldid=99085+PatchWiki；米游社官方资料仅提供玩法或少量条目补充</x:v>
      </x:c>
      <x:c r="AH109" s="35" t="str">
        <x:v>仅凭图标无法区分本簇具体ID</x:v>
      </x:c>
      <x:c r="AI109" s="40" t="str">
        <x:f>IF(OR(K109&lt;&gt;L109,M109&lt;&gt;TRUE,Y109&lt;&gt;TRUE,Z109&lt;&gt;TRUE),"冲突",IF(OR(D109="？",D109="？？？"),"分类冲突待确认",IF(N109&gt;1,"图标一致；具体ID不唯一","图标/名称/来源无已发现冲突")))</x:f>
        <x:v>图标一致；具体ID不唯一</x:v>
      </x:c>
    </x:row>
    <x:row r="110" ht="38" customHeight="1">
      <x:c r="A110" s="35" t="n">
        <x:v>109</x:v>
      </x:c>
      <x:c r="B110" s="35" t="str">
        <x:v>currency_wars_equipment_111</x:v>
      </x:c>
      <x:c r="C110" s="35" t="str">
        <x:v>痛觉阻断芯片•特权</x:v>
      </x:c>
      <x:c r="D110" s="35" t="str">
        <x:v>特权装备</x:v>
      </x:c>
      <x:c r="E110" s="35" t="str">
        <x:v>privileged</x:v>
      </x:c>
      <x:c r="F110" s="35" t="str">
        <x:v>是</x:v>
      </x:c>
      <x:c r="G110" s="35" t="str">
        <x:v>是</x:v>
      </x:c>
      <x:c r="H110" s="35" t="str">
        <x:v>currency_wars_equipment_072</x:v>
      </x:c>
      <x:c r="I110" s="35" t="str"/>
      <x:c r="J110" s="35" t="str">
        <x:v>assets/currency_wars_equipment_icons/currency_wars_equipment_111.png</x:v>
      </x:c>
      <x:c r="K110" s="35" t="str">
        <x:v>0e381740b644f074d8d57a640343a5197bba7c3469149f96c7d6bae8ea2d124b</x:v>
      </x:c>
      <x:c r="L110" s="35" t="str">
        <x:v>0e381740b644f074d8d57a640343a5197bba7c3469149f96c7d6bae8ea2d124b</x:v>
      </x:c>
      <x:c r="M110" s="36" t="b">
        <x:v>1</x:v>
      </x:c>
      <x:c r="N110" s="39" t="n">
        <x:f>COUNTIF($L$2:$L$158,L110)</x:f>
        <x:v>2</x:v>
      </x:c>
      <x:c r="O110" s="39" t="str">
        <x:v>072；111</x:v>
      </x:c>
      <x:c r="P110" s="39" t="str">
        <x:v>痛觉阻断芯片；痛觉阻断芯片•特权</x:v>
      </x:c>
      <x:c r="Q110" s="35" t="n">
        <x:v>29438</x:v>
      </x:c>
      <x:c r="R110" s="35" t="n">
        <x:v>128</x:v>
      </x:c>
      <x:c r="S110" s="35" t="n">
        <x:v>128</x:v>
      </x:c>
      <x:c r="T110" s="35" t="str">
        <x:v>https://patchwiki.biligame.com/images/sr/3/39/6549yh6pqolczbqqxp02vqdjmzfs7ke.png</x:v>
      </x:c>
      <x:c r="U110" s="35" t="str">
        <x:v>https://wiki.biligame.com/sr/%E7%97%9B%E8%A7%89%E9%98%BB%E6%96%AD%E8%8A%AF%E7%89%87%E2%80%A2%E7%89%B9%E6%9D%83</x:v>
      </x:c>
      <x:c r="V110" s="35" t="n">
        <x:v>99085</x:v>
      </x:c>
      <x:c r="W110" s="35" t="n">
        <x:v>200</x:v>
      </x:c>
      <x:c r="X110" s="35" t="str">
        <x:v>0e381740b644f074d8d57a640343a5197bba7c3469149f96c7d6bae8ea2d124b</x:v>
      </x:c>
      <x:c r="Y110" s="36" t="b">
        <x:v>1</x:v>
      </x:c>
      <x:c r="Z110" s="36" t="b">
        <x:v>1</x:v>
      </x:c>
      <x:c r="AA110" s="35" t="str">
        <x:v>HTTP 200 反爬占位页</x:v>
      </x:c>
      <x:c r="AB110" s="35" t="str"/>
      <x:c r="AC110" s="35" t="str">
        <x:v>equipment-contact-06.png</x:v>
      </x:c>
      <x:c r="AD110" s="35" t="str">
        <x:v>第2行第4列</x:v>
      </x:c>
      <x:c r="AE110" s="35" t="str">
        <x:v>逐项可见；未见空白、破损、异常裁切或相邻错位</x:v>
      </x:c>
      <x:c r="AF110" s="35" t="str">
        <x:v>同图多ID；识别时必须保留CandidateIds/Unknown，不得强收敛</x:v>
      </x:c>
      <x:c r="AG110" s="35" t="str">
        <x:v>BWIKI oldid=99085+PatchWiki；米游社官方资料仅提供玩法或少量条目补充</x:v>
      </x:c>
      <x:c r="AH110" s="35" t="str">
        <x:v>仅凭图标无法区分本簇具体ID</x:v>
      </x:c>
      <x:c r="AI110" s="40" t="str">
        <x:f>IF(OR(K110&lt;&gt;L110,M110&lt;&gt;TRUE,Y110&lt;&gt;TRUE,Z110&lt;&gt;TRUE),"冲突",IF(OR(D110="？",D110="？？？"),"分类冲突待确认",IF(N110&gt;1,"图标一致；具体ID不唯一","图标/名称/来源无已发现冲突")))</x:f>
        <x:v>图标一致；具体ID不唯一</x:v>
      </x:c>
    </x:row>
    <x:row r="111" ht="38" customHeight="1">
      <x:c r="A111" s="35" t="n">
        <x:v>110</x:v>
      </x:c>
      <x:c r="B111" s="35" t="str">
        <x:v>currency_wars_equipment_112</x:v>
      </x:c>
      <x:c r="C111" s="35" t="str">
        <x:v>碎星斩舰刀•特权</x:v>
      </x:c>
      <x:c r="D111" s="35" t="str">
        <x:v>特权装备</x:v>
      </x:c>
      <x:c r="E111" s="35" t="str">
        <x:v>privileged</x:v>
      </x:c>
      <x:c r="F111" s="35" t="str">
        <x:v>是</x:v>
      </x:c>
      <x:c r="G111" s="35" t="str">
        <x:v>是</x:v>
      </x:c>
      <x:c r="H111" s="35" t="str">
        <x:v>currency_wars_equipment_073</x:v>
      </x:c>
      <x:c r="I111" s="35" t="str"/>
      <x:c r="J111" s="35" t="str">
        <x:v>assets/currency_wars_equipment_icons/currency_wars_equipment_112.png</x:v>
      </x:c>
      <x:c r="K111" s="35" t="str">
        <x:v>bc53b2f878f643ce96519b04075f5e3d9301249e8c703dbeafc2c83098710fea</x:v>
      </x:c>
      <x:c r="L111" s="35" t="str">
        <x:v>bc53b2f878f643ce96519b04075f5e3d9301249e8c703dbeafc2c83098710fea</x:v>
      </x:c>
      <x:c r="M111" s="36" t="b">
        <x:v>1</x:v>
      </x:c>
      <x:c r="N111" s="39" t="n">
        <x:f>COUNTIF($L$2:$L$158,L111)</x:f>
        <x:v>2</x:v>
      </x:c>
      <x:c r="O111" s="39" t="str">
        <x:v>073；112</x:v>
      </x:c>
      <x:c r="P111" s="39" t="str">
        <x:v>碎星斩舰刀；碎星斩舰刀•特权</x:v>
      </x:c>
      <x:c r="Q111" s="35" t="n">
        <x:v>31837</x:v>
      </x:c>
      <x:c r="R111" s="35" t="n">
        <x:v>128</x:v>
      </x:c>
      <x:c r="S111" s="35" t="n">
        <x:v>128</x:v>
      </x:c>
      <x:c r="T111" s="35" t="str">
        <x:v>https://patchwiki.biligame.com/images/sr/6/6b/4tp5deflxs90qowulzea1284u7y5xj7.png</x:v>
      </x:c>
      <x:c r="U111" s="35" t="str">
        <x:v>https://wiki.biligame.com/sr/%E7%A2%8E%E6%98%9F%E6%96%A9%E8%88%B0%E5%88%80%E2%80%A2%E7%89%B9%E6%9D%83</x:v>
      </x:c>
      <x:c r="V111" s="35" t="n">
        <x:v>99085</x:v>
      </x:c>
      <x:c r="W111" s="35" t="n">
        <x:v>200</x:v>
      </x:c>
      <x:c r="X111" s="35" t="str">
        <x:v>bc53b2f878f643ce96519b04075f5e3d9301249e8c703dbeafc2c83098710fea</x:v>
      </x:c>
      <x:c r="Y111" s="36" t="b">
        <x:v>1</x:v>
      </x:c>
      <x:c r="Z111" s="36" t="b">
        <x:v>1</x:v>
      </x:c>
      <x:c r="AA111" s="35" t="str">
        <x:v>HTTP 200 反爬占位页</x:v>
      </x:c>
      <x:c r="AB111" s="35" t="str"/>
      <x:c r="AC111" s="35" t="str">
        <x:v>equipment-contact-06.png</x:v>
      </x:c>
      <x:c r="AD111" s="35" t="str">
        <x:v>第2行第5列</x:v>
      </x:c>
      <x:c r="AE111" s="35" t="str">
        <x:v>逐项可见；未见空白、破损、异常裁切或相邻错位</x:v>
      </x:c>
      <x:c r="AF111" s="35" t="str">
        <x:v>同图多ID；识别时必须保留CandidateIds/Unknown，不得强收敛</x:v>
      </x:c>
      <x:c r="AG111" s="35" t="str">
        <x:v>BWIKI oldid=99085+PatchWiki；米游社官方资料仅提供玩法或少量条目补充</x:v>
      </x:c>
      <x:c r="AH111" s="35" t="str">
        <x:v>仅凭图标无法区分本簇具体ID</x:v>
      </x:c>
      <x:c r="AI111" s="40" t="str">
        <x:f>IF(OR(K111&lt;&gt;L111,M111&lt;&gt;TRUE,Y111&lt;&gt;TRUE,Z111&lt;&gt;TRUE),"冲突",IF(OR(D111="？",D111="？？？"),"分类冲突待确认",IF(N111&gt;1,"图标一致；具体ID不唯一","图标/名称/来源无已发现冲突")))</x:f>
        <x:v>图标一致；具体ID不唯一</x:v>
      </x:c>
    </x:row>
    <x:row r="112" ht="38" customHeight="1">
      <x:c r="A112" s="35" t="n">
        <x:v>111</x:v>
      </x:c>
      <x:c r="B112" s="35" t="str">
        <x:v>currency_wars_equipment_113</x:v>
      </x:c>
      <x:c r="C112" s="35" t="str">
        <x:v>绝对热量•特权</x:v>
      </x:c>
      <x:c r="D112" s="35" t="str">
        <x:v>特权装备</x:v>
      </x:c>
      <x:c r="E112" s="35" t="str">
        <x:v>privileged</x:v>
      </x:c>
      <x:c r="F112" s="35" t="str">
        <x:v>是</x:v>
      </x:c>
      <x:c r="G112" s="35" t="str">
        <x:v>是</x:v>
      </x:c>
      <x:c r="H112" s="35" t="str">
        <x:v>currency_wars_equipment_074</x:v>
      </x:c>
      <x:c r="I112" s="35" t="str"/>
      <x:c r="J112" s="35" t="str">
        <x:v>assets/currency_wars_equipment_icons/currency_wars_equipment_113.png</x:v>
      </x:c>
      <x:c r="K112" s="35" t="str">
        <x:v>b7715ddb5c9dea4d24897d8f80a1c790c272ce6cbfa1ab336a6078c379b610d2</x:v>
      </x:c>
      <x:c r="L112" s="35" t="str">
        <x:v>b7715ddb5c9dea4d24897d8f80a1c790c272ce6cbfa1ab336a6078c379b610d2</x:v>
      </x:c>
      <x:c r="M112" s="36" t="b">
        <x:v>1</x:v>
      </x:c>
      <x:c r="N112" s="39" t="n">
        <x:f>COUNTIF($L$2:$L$158,L112)</x:f>
        <x:v>2</x:v>
      </x:c>
      <x:c r="O112" s="39" t="str">
        <x:v>074；113</x:v>
      </x:c>
      <x:c r="P112" s="39" t="str">
        <x:v>绝对热量；绝对热量•特权</x:v>
      </x:c>
      <x:c r="Q112" s="35" t="n">
        <x:v>30024</x:v>
      </x:c>
      <x:c r="R112" s="35" t="n">
        <x:v>128</x:v>
      </x:c>
      <x:c r="S112" s="35" t="n">
        <x:v>128</x:v>
      </x:c>
      <x:c r="T112" s="35" t="str">
        <x:v>https://patchwiki.biligame.com/images/sr/7/7d/44folvfa971o8gov65thbnxgum3u1f2.png</x:v>
      </x:c>
      <x:c r="U112" s="35" t="str">
        <x:v>https://wiki.biligame.com/sr/%E7%BB%9D%E5%AF%B9%E7%83%AD%E9%87%8F%E2%80%A2%E7%89%B9%E6%9D%83</x:v>
      </x:c>
      <x:c r="V112" s="35" t="n">
        <x:v>99085</x:v>
      </x:c>
      <x:c r="W112" s="35" t="n">
        <x:v>200</x:v>
      </x:c>
      <x:c r="X112" s="35" t="str">
        <x:v>b7715ddb5c9dea4d24897d8f80a1c790c272ce6cbfa1ab336a6078c379b610d2</x:v>
      </x:c>
      <x:c r="Y112" s="36" t="b">
        <x:v>1</x:v>
      </x:c>
      <x:c r="Z112" s="36" t="b">
        <x:v>1</x:v>
      </x:c>
      <x:c r="AA112" s="35" t="str">
        <x:v>HTTP 200 反爬占位页</x:v>
      </x:c>
      <x:c r="AB112" s="35" t="str"/>
      <x:c r="AC112" s="35" t="str">
        <x:v>equipment-contact-06.png</x:v>
      </x:c>
      <x:c r="AD112" s="35" t="str">
        <x:v>第3行第1列</x:v>
      </x:c>
      <x:c r="AE112" s="35" t="str">
        <x:v>逐项可见；未见空白、破损、异常裁切或相邻错位</x:v>
      </x:c>
      <x:c r="AF112" s="35" t="str">
        <x:v>同图多ID；识别时必须保留CandidateIds/Unknown，不得强收敛</x:v>
      </x:c>
      <x:c r="AG112" s="35" t="str">
        <x:v>BWIKI oldid=99085+PatchWiki；米游社官方资料仅提供玩法或少量条目补充</x:v>
      </x:c>
      <x:c r="AH112" s="35" t="str">
        <x:v>仅凭图标无法区分本簇具体ID</x:v>
      </x:c>
      <x:c r="AI112" s="40" t="str">
        <x:f>IF(OR(K112&lt;&gt;L112,M112&lt;&gt;TRUE,Y112&lt;&gt;TRUE,Z112&lt;&gt;TRUE),"冲突",IF(OR(D112="？",D112="？？？"),"分类冲突待确认",IF(N112&gt;1,"图标一致；具体ID不唯一","图标/名称/来源无已发现冲突")))</x:f>
        <x:v>图标一致；具体ID不唯一</x:v>
      </x:c>
    </x:row>
    <x:row r="113" ht="38" customHeight="1">
      <x:c r="A113" s="35" t="n">
        <x:v>112</x:v>
      </x:c>
      <x:c r="B113" s="35" t="str">
        <x:v>currency_wars_equipment_114</x:v>
      </x:c>
      <x:c r="C113" s="35" t="str">
        <x:v>胜利之旗•特权</x:v>
      </x:c>
      <x:c r="D113" s="35" t="str">
        <x:v>特权装备</x:v>
      </x:c>
      <x:c r="E113" s="35" t="str">
        <x:v>privileged</x:v>
      </x:c>
      <x:c r="F113" s="35" t="str">
        <x:v>是</x:v>
      </x:c>
      <x:c r="G113" s="35" t="str">
        <x:v>是</x:v>
      </x:c>
      <x:c r="H113" s="35" t="str">
        <x:v>currency_wars_equipment_075</x:v>
      </x:c>
      <x:c r="I113" s="35" t="str"/>
      <x:c r="J113" s="35" t="str">
        <x:v>assets/currency_wars_equipment_icons/currency_wars_equipment_114.png</x:v>
      </x:c>
      <x:c r="K113" s="35" t="str">
        <x:v>a7992e1a9bc95462f233d13ad4619571c80b69e62ddca7f14275f4abd006ea90</x:v>
      </x:c>
      <x:c r="L113" s="35" t="str">
        <x:v>a7992e1a9bc95462f233d13ad4619571c80b69e62ddca7f14275f4abd006ea90</x:v>
      </x:c>
      <x:c r="M113" s="36" t="b">
        <x:v>1</x:v>
      </x:c>
      <x:c r="N113" s="39" t="n">
        <x:f>COUNTIF($L$2:$L$158,L113)</x:f>
        <x:v>2</x:v>
      </x:c>
      <x:c r="O113" s="39" t="str">
        <x:v>075；114</x:v>
      </x:c>
      <x:c r="P113" s="39" t="str">
        <x:v>胜利之旗；胜利之旗•特权</x:v>
      </x:c>
      <x:c r="Q113" s="35" t="n">
        <x:v>25775</x:v>
      </x:c>
      <x:c r="R113" s="35" t="n">
        <x:v>128</x:v>
      </x:c>
      <x:c r="S113" s="35" t="n">
        <x:v>128</x:v>
      </x:c>
      <x:c r="T113" s="35" t="str">
        <x:v>https://patchwiki.biligame.com/images/sr/0/0c/535v3d7kzwbgfxudq0forup9v3chxok.png</x:v>
      </x:c>
      <x:c r="U113" s="35" t="str">
        <x:v>https://wiki.biligame.com/sr/%E8%83%9C%E5%88%A9%E4%B9%8B%E6%97%97%E2%80%A2%E7%89%B9%E6%9D%83</x:v>
      </x:c>
      <x:c r="V113" s="35" t="n">
        <x:v>99085</x:v>
      </x:c>
      <x:c r="W113" s="35" t="n">
        <x:v>200</x:v>
      </x:c>
      <x:c r="X113" s="35" t="str">
        <x:v>a7992e1a9bc95462f233d13ad4619571c80b69e62ddca7f14275f4abd006ea90</x:v>
      </x:c>
      <x:c r="Y113" s="36" t="b">
        <x:v>1</x:v>
      </x:c>
      <x:c r="Z113" s="36" t="b">
        <x:v>1</x:v>
      </x:c>
      <x:c r="AA113" s="35" t="str">
        <x:v>HTTP 200 反爬占位页</x:v>
      </x:c>
      <x:c r="AB113" s="35" t="str"/>
      <x:c r="AC113" s="35" t="str">
        <x:v>equipment-contact-06.png</x:v>
      </x:c>
      <x:c r="AD113" s="35" t="str">
        <x:v>第3行第2列</x:v>
      </x:c>
      <x:c r="AE113" s="35" t="str">
        <x:v>逐项可见；未见空白、破损、异常裁切或相邻错位</x:v>
      </x:c>
      <x:c r="AF113" s="35" t="str">
        <x:v>同图多ID；识别时必须保留CandidateIds/Unknown，不得强收敛</x:v>
      </x:c>
      <x:c r="AG113" s="35" t="str">
        <x:v>BWIKI oldid=99085+PatchWiki；米游社官方资料仅提供玩法或少量条目补充</x:v>
      </x:c>
      <x:c r="AH113" s="35" t="str">
        <x:v>仅凭图标无法区分本簇具体ID</x:v>
      </x:c>
      <x:c r="AI113" s="40" t="str">
        <x:f>IF(OR(K113&lt;&gt;L113,M113&lt;&gt;TRUE,Y113&lt;&gt;TRUE,Z113&lt;&gt;TRUE),"冲突",IF(OR(D113="？",D113="？？？"),"分类冲突待确认",IF(N113&gt;1,"图标一致；具体ID不唯一","图标/名称/来源无已发现冲突")))</x:f>
        <x:v>图标一致；具体ID不唯一</x:v>
      </x:c>
    </x:row>
    <x:row r="114" ht="38" customHeight="1">
      <x:c r="A114" s="35" t="n">
        <x:v>113</x:v>
      </x:c>
      <x:c r="B114" s="35" t="str">
        <x:v>currency_wars_equipment_115</x:v>
      </x:c>
      <x:c r="C114" s="35" t="str">
        <x:v>自适应外骨骼•特权</x:v>
      </x:c>
      <x:c r="D114" s="35" t="str">
        <x:v>特权装备</x:v>
      </x:c>
      <x:c r="E114" s="35" t="str">
        <x:v>privileged</x:v>
      </x:c>
      <x:c r="F114" s="35" t="str">
        <x:v>是</x:v>
      </x:c>
      <x:c r="G114" s="35" t="str">
        <x:v>是</x:v>
      </x:c>
      <x:c r="H114" s="35" t="str">
        <x:v>currency_wars_equipment_076</x:v>
      </x:c>
      <x:c r="I114" s="35" t="str"/>
      <x:c r="J114" s="35" t="str">
        <x:v>assets/currency_wars_equipment_icons/currency_wars_equipment_115.png</x:v>
      </x:c>
      <x:c r="K114" s="35" t="str">
        <x:v>4f0536a5df57dbb1fd94fa4688a2da232f7e20347f9810ad0d3633404917eaac</x:v>
      </x:c>
      <x:c r="L114" s="35" t="str">
        <x:v>4f0536a5df57dbb1fd94fa4688a2da232f7e20347f9810ad0d3633404917eaac</x:v>
      </x:c>
      <x:c r="M114" s="36" t="b">
        <x:v>1</x:v>
      </x:c>
      <x:c r="N114" s="39" t="n">
        <x:f>COUNTIF($L$2:$L$158,L114)</x:f>
        <x:v>2</x:v>
      </x:c>
      <x:c r="O114" s="39" t="str">
        <x:v>076；115</x:v>
      </x:c>
      <x:c r="P114" s="39" t="str">
        <x:v>自适应外骨骼；自适应外骨骼•特权</x:v>
      </x:c>
      <x:c r="Q114" s="35" t="n">
        <x:v>34365</x:v>
      </x:c>
      <x:c r="R114" s="35" t="n">
        <x:v>128</x:v>
      </x:c>
      <x:c r="S114" s="35" t="n">
        <x:v>128</x:v>
      </x:c>
      <x:c r="T114" s="35" t="str">
        <x:v>https://patchwiki.biligame.com/images/sr/9/94/es524rclnsrht795b56rnt1nfxkvjln.png</x:v>
      </x:c>
      <x:c r="U114" s="35" t="str">
        <x:v>https://wiki.biligame.com/sr/%E8%87%AA%E9%80%82%E5%BA%94%E5%A4%96%E9%AA%A8%E9%AA%BC%E2%80%A2%E7%89%B9%E6%9D%83</x:v>
      </x:c>
      <x:c r="V114" s="35" t="n">
        <x:v>99085</x:v>
      </x:c>
      <x:c r="W114" s="35" t="n">
        <x:v>200</x:v>
      </x:c>
      <x:c r="X114" s="35" t="str">
        <x:v>4f0536a5df57dbb1fd94fa4688a2da232f7e20347f9810ad0d3633404917eaac</x:v>
      </x:c>
      <x:c r="Y114" s="36" t="b">
        <x:v>1</x:v>
      </x:c>
      <x:c r="Z114" s="36" t="b">
        <x:v>1</x:v>
      </x:c>
      <x:c r="AA114" s="35" t="str">
        <x:v>HTTP 200 反爬占位页</x:v>
      </x:c>
      <x:c r="AB114" s="35" t="str"/>
      <x:c r="AC114" s="35" t="str">
        <x:v>equipment-contact-06.png</x:v>
      </x:c>
      <x:c r="AD114" s="35" t="str">
        <x:v>第3行第3列</x:v>
      </x:c>
      <x:c r="AE114" s="35" t="str">
        <x:v>逐项可见；未见空白、破损、异常裁切或相邻错位</x:v>
      </x:c>
      <x:c r="AF114" s="35" t="str">
        <x:v>同图多ID；识别时必须保留CandidateIds/Unknown，不得强收敛</x:v>
      </x:c>
      <x:c r="AG114" s="35" t="str">
        <x:v>BWIKI oldid=99085+PatchWiki；米游社官方资料仅提供玩法或少量条目补充</x:v>
      </x:c>
      <x:c r="AH114" s="35" t="str">
        <x:v>仅凭图标无法区分本簇具体ID</x:v>
      </x:c>
      <x:c r="AI114" s="40" t="str">
        <x:f>IF(OR(K114&lt;&gt;L114,M114&lt;&gt;TRUE,Y114&lt;&gt;TRUE,Z114&lt;&gt;TRUE),"冲突",IF(OR(D114="？",D114="？？？"),"分类冲突待确认",IF(N114&gt;1,"图标一致；具体ID不唯一","图标/名称/来源无已发现冲突")))</x:f>
        <x:v>图标一致；具体ID不唯一</x:v>
      </x:c>
    </x:row>
    <x:row r="115" ht="38" customHeight="1">
      <x:c r="A115" s="35" t="n">
        <x:v>114</x:v>
      </x:c>
      <x:c r="B115" s="35" t="str">
        <x:v>currency_wars_equipment_116</x:v>
      </x:c>
      <x:c r="C115" s="35" t="str">
        <x:v>蓄能帆•特权</x:v>
      </x:c>
      <x:c r="D115" s="35" t="str">
        <x:v>特权装备</x:v>
      </x:c>
      <x:c r="E115" s="35" t="str">
        <x:v>privileged</x:v>
      </x:c>
      <x:c r="F115" s="35" t="str">
        <x:v>是</x:v>
      </x:c>
      <x:c r="G115" s="35" t="str">
        <x:v>是</x:v>
      </x:c>
      <x:c r="H115" s="35" t="str">
        <x:v>currency_wars_equipment_077</x:v>
      </x:c>
      <x:c r="I115" s="35" t="str"/>
      <x:c r="J115" s="35" t="str">
        <x:v>assets/currency_wars_equipment_icons/currency_wars_equipment_116.png</x:v>
      </x:c>
      <x:c r="K115" s="35" t="str">
        <x:v>33121ab041df3a0573fb638f4687c2dabd116e0ba6f4ae08d6a0839d25affe9c</x:v>
      </x:c>
      <x:c r="L115" s="35" t="str">
        <x:v>33121ab041df3a0573fb638f4687c2dabd116e0ba6f4ae08d6a0839d25affe9c</x:v>
      </x:c>
      <x:c r="M115" s="36" t="b">
        <x:v>1</x:v>
      </x:c>
      <x:c r="N115" s="39" t="n">
        <x:f>COUNTIF($L$2:$L$158,L115)</x:f>
        <x:v>2</x:v>
      </x:c>
      <x:c r="O115" s="39" t="str">
        <x:v>077；116</x:v>
      </x:c>
      <x:c r="P115" s="39" t="str">
        <x:v>蓄能帆；蓄能帆•特权</x:v>
      </x:c>
      <x:c r="Q115" s="35" t="n">
        <x:v>34741</x:v>
      </x:c>
      <x:c r="R115" s="35" t="n">
        <x:v>128</x:v>
      </x:c>
      <x:c r="S115" s="35" t="n">
        <x:v>128</x:v>
      </x:c>
      <x:c r="T115" s="35" t="str">
        <x:v>https://patchwiki.biligame.com/images/sr/5/5d/50olq8xte3l0aeuagqh7l3gcu0hmjm6.png</x:v>
      </x:c>
      <x:c r="U115" s="35" t="str">
        <x:v>https://wiki.biligame.com/sr/%E8%93%84%E8%83%BD%E5%B8%86%E2%80%A2%E7%89%B9%E6%9D%83</x:v>
      </x:c>
      <x:c r="V115" s="35" t="n">
        <x:v>99085</x:v>
      </x:c>
      <x:c r="W115" s="35" t="n">
        <x:v>200</x:v>
      </x:c>
      <x:c r="X115" s="35" t="str">
        <x:v>33121ab041df3a0573fb638f4687c2dabd116e0ba6f4ae08d6a0839d25affe9c</x:v>
      </x:c>
      <x:c r="Y115" s="36" t="b">
        <x:v>1</x:v>
      </x:c>
      <x:c r="Z115" s="36" t="b">
        <x:v>1</x:v>
      </x:c>
      <x:c r="AA115" s="35" t="str">
        <x:v>HTTP 200 反爬占位页</x:v>
      </x:c>
      <x:c r="AB115" s="35" t="str"/>
      <x:c r="AC115" s="35" t="str">
        <x:v>equipment-contact-06.png</x:v>
      </x:c>
      <x:c r="AD115" s="35" t="str">
        <x:v>第3行第4列</x:v>
      </x:c>
      <x:c r="AE115" s="35" t="str">
        <x:v>逐项可见；未见空白、破损、异常裁切或相邻错位</x:v>
      </x:c>
      <x:c r="AF115" s="35" t="str">
        <x:v>同图多ID；识别时必须保留CandidateIds/Unknown，不得强收敛</x:v>
      </x:c>
      <x:c r="AG115" s="35" t="str">
        <x:v>BWIKI oldid=99085+PatchWiki；米游社官方资料仅提供玩法或少量条目补充</x:v>
      </x:c>
      <x:c r="AH115" s="35" t="str">
        <x:v>仅凭图标无法区分本簇具体ID</x:v>
      </x:c>
      <x:c r="AI115" s="40" t="str">
        <x:f>IF(OR(K115&lt;&gt;L115,M115&lt;&gt;TRUE,Y115&lt;&gt;TRUE,Z115&lt;&gt;TRUE),"冲突",IF(OR(D115="？",D115="？？？"),"分类冲突待确认",IF(N115&gt;1,"图标一致；具体ID不唯一","图标/名称/来源无已发现冲突")))</x:f>
        <x:v>图标一致；具体ID不唯一</x:v>
      </x:c>
    </x:row>
    <x:row r="116" ht="38" customHeight="1">
      <x:c r="A116" s="35" t="n">
        <x:v>115</x:v>
      </x:c>
      <x:c r="B116" s="35" t="str">
        <x:v>currency_wars_equipment_117</x:v>
      </x:c>
      <x:c r="C116" s="35" t="str">
        <x:v>虫洞掘进钻头•特权</x:v>
      </x:c>
      <x:c r="D116" s="35" t="str">
        <x:v>特权装备</x:v>
      </x:c>
      <x:c r="E116" s="35" t="str">
        <x:v>privileged</x:v>
      </x:c>
      <x:c r="F116" s="35" t="str">
        <x:v>是</x:v>
      </x:c>
      <x:c r="G116" s="35" t="str">
        <x:v>是</x:v>
      </x:c>
      <x:c r="H116" s="35" t="str">
        <x:v>currency_wars_equipment_078</x:v>
      </x:c>
      <x:c r="I116" s="35" t="str"/>
      <x:c r="J116" s="35" t="str">
        <x:v>assets/currency_wars_equipment_icons/currency_wars_equipment_117.png</x:v>
      </x:c>
      <x:c r="K116" s="35" t="str">
        <x:v>5468037f10a03db79db0ff7fd5c64de648cc4a5e9459279826d25a2e9d083302</x:v>
      </x:c>
      <x:c r="L116" s="35" t="str">
        <x:v>5468037f10a03db79db0ff7fd5c64de648cc4a5e9459279826d25a2e9d083302</x:v>
      </x:c>
      <x:c r="M116" s="36" t="b">
        <x:v>1</x:v>
      </x:c>
      <x:c r="N116" s="39" t="n">
        <x:f>COUNTIF($L$2:$L$158,L116)</x:f>
        <x:v>2</x:v>
      </x:c>
      <x:c r="O116" s="39" t="str">
        <x:v>078；117</x:v>
      </x:c>
      <x:c r="P116" s="39" t="str">
        <x:v>虫洞掘进钻头；虫洞掘进钻头•特权</x:v>
      </x:c>
      <x:c r="Q116" s="35" t="n">
        <x:v>32726</x:v>
      </x:c>
      <x:c r="R116" s="35" t="n">
        <x:v>128</x:v>
      </x:c>
      <x:c r="S116" s="35" t="n">
        <x:v>128</x:v>
      </x:c>
      <x:c r="T116" s="35" t="str">
        <x:v>https://patchwiki.biligame.com/images/sr/a/a2/7alriyktsxdl43fuoc5z3hkqog26m5l.png</x:v>
      </x:c>
      <x:c r="U116" s="35" t="str">
        <x:v>https://wiki.biligame.com/sr/%E8%99%AB%E6%B4%9E%E6%8E%98%E8%BF%9B%E9%92%BB%E5%A4%B4%E2%80%A2%E7%89%B9%E6%9D%83</x:v>
      </x:c>
      <x:c r="V116" s="35" t="n">
        <x:v>99085</x:v>
      </x:c>
      <x:c r="W116" s="35" t="n">
        <x:v>200</x:v>
      </x:c>
      <x:c r="X116" s="35" t="str">
        <x:v>5468037f10a03db79db0ff7fd5c64de648cc4a5e9459279826d25a2e9d083302</x:v>
      </x:c>
      <x:c r="Y116" s="36" t="b">
        <x:v>1</x:v>
      </x:c>
      <x:c r="Z116" s="36" t="b">
        <x:v>1</x:v>
      </x:c>
      <x:c r="AA116" s="35" t="str">
        <x:v>HTTP 200 反爬占位页</x:v>
      </x:c>
      <x:c r="AB116" s="35" t="str"/>
      <x:c r="AC116" s="35" t="str">
        <x:v>equipment-contact-06.png</x:v>
      </x:c>
      <x:c r="AD116" s="35" t="str">
        <x:v>第3行第5列</x:v>
      </x:c>
      <x:c r="AE116" s="35" t="str">
        <x:v>逐项可见；未见空白、破损、异常裁切或相邻错位</x:v>
      </x:c>
      <x:c r="AF116" s="35" t="str">
        <x:v>同图多ID；识别时必须保留CandidateIds/Unknown，不得强收敛</x:v>
      </x:c>
      <x:c r="AG116" s="35" t="str">
        <x:v>BWIKI oldid=99085+PatchWiki；米游社官方资料仅提供玩法或少量条目补充</x:v>
      </x:c>
      <x:c r="AH116" s="35" t="str">
        <x:v>仅凭图标无法区分本簇具体ID</x:v>
      </x:c>
      <x:c r="AI116" s="40" t="str">
        <x:f>IF(OR(K116&lt;&gt;L116,M116&lt;&gt;TRUE,Y116&lt;&gt;TRUE,Z116&lt;&gt;TRUE),"冲突",IF(OR(D116="？",D116="？？？"),"分类冲突待确认",IF(N116&gt;1,"图标一致；具体ID不唯一","图标/名称/来源无已发现冲突")))</x:f>
        <x:v>图标一致；具体ID不唯一</x:v>
      </x:c>
    </x:row>
    <x:row r="117" ht="38" customHeight="1">
      <x:c r="A117" s="35" t="n">
        <x:v>116</x:v>
      </x:c>
      <x:c r="B117" s="35" t="str">
        <x:v>currency_wars_equipment_118</x:v>
      </x:c>
      <x:c r="C117" s="35" t="str">
        <x:v>行星钻地弹•特权</x:v>
      </x:c>
      <x:c r="D117" s="35" t="str">
        <x:v>特权装备</x:v>
      </x:c>
      <x:c r="E117" s="35" t="str">
        <x:v>privileged</x:v>
      </x:c>
      <x:c r="F117" s="35" t="str">
        <x:v>是</x:v>
      </x:c>
      <x:c r="G117" s="35" t="str">
        <x:v>是</x:v>
      </x:c>
      <x:c r="H117" s="35" t="str">
        <x:v>currency_wars_equipment_079</x:v>
      </x:c>
      <x:c r="I117" s="35" t="str"/>
      <x:c r="J117" s="35" t="str">
        <x:v>assets/currency_wars_equipment_icons/currency_wars_equipment_118.png</x:v>
      </x:c>
      <x:c r="K117" s="35" t="str">
        <x:v>057093a212c7dc7196a410cd1fae91fec7bd4e34113ea1ffe0fd38573350dc11</x:v>
      </x:c>
      <x:c r="L117" s="35" t="str">
        <x:v>057093a212c7dc7196a410cd1fae91fec7bd4e34113ea1ffe0fd38573350dc11</x:v>
      </x:c>
      <x:c r="M117" s="36" t="b">
        <x:v>1</x:v>
      </x:c>
      <x:c r="N117" s="39" t="n">
        <x:f>COUNTIF($L$2:$L$158,L117)</x:f>
        <x:v>2</x:v>
      </x:c>
      <x:c r="O117" s="39" t="str">
        <x:v>079；118</x:v>
      </x:c>
      <x:c r="P117" s="39" t="str">
        <x:v>行星钻地弹；行星钻地弹•特权</x:v>
      </x:c>
      <x:c r="Q117" s="35" t="n">
        <x:v>26340</x:v>
      </x:c>
      <x:c r="R117" s="35" t="n">
        <x:v>128</x:v>
      </x:c>
      <x:c r="S117" s="35" t="n">
        <x:v>128</x:v>
      </x:c>
      <x:c r="T117" s="35" t="str">
        <x:v>https://patchwiki.biligame.com/images/sr/3/33/4hbqrn3pq600ijf5mkqpqzdeude4h5i.png</x:v>
      </x:c>
      <x:c r="U117" s="35" t="str">
        <x:v>https://wiki.biligame.com/sr/%E8%A1%8C%E6%98%9F%E9%92%BB%E5%9C%B0%E5%BC%B9%E2%80%A2%E7%89%B9%E6%9D%83</x:v>
      </x:c>
      <x:c r="V117" s="35" t="n">
        <x:v>99085</x:v>
      </x:c>
      <x:c r="W117" s="35" t="n">
        <x:v>200</x:v>
      </x:c>
      <x:c r="X117" s="35" t="str">
        <x:v>057093a212c7dc7196a410cd1fae91fec7bd4e34113ea1ffe0fd38573350dc11</x:v>
      </x:c>
      <x:c r="Y117" s="36" t="b">
        <x:v>1</x:v>
      </x:c>
      <x:c r="Z117" s="36" t="b">
        <x:v>1</x:v>
      </x:c>
      <x:c r="AA117" s="35" t="str">
        <x:v>HTTP 200 反爬占位页</x:v>
      </x:c>
      <x:c r="AB117" s="35" t="str"/>
      <x:c r="AC117" s="35" t="str">
        <x:v>equipment-contact-06.png</x:v>
      </x:c>
      <x:c r="AD117" s="35" t="str">
        <x:v>第4行第1列</x:v>
      </x:c>
      <x:c r="AE117" s="35" t="str">
        <x:v>逐项可见；未见空白、破损、异常裁切或相邻错位</x:v>
      </x:c>
      <x:c r="AF117" s="35" t="str">
        <x:v>同图多ID；识别时必须保留CandidateIds/Unknown，不得强收敛</x:v>
      </x:c>
      <x:c r="AG117" s="35" t="str">
        <x:v>BWIKI oldid=99085+PatchWiki；米游社官方资料仅提供玩法或少量条目补充</x:v>
      </x:c>
      <x:c r="AH117" s="35" t="str">
        <x:v>仅凭图标无法区分本簇具体ID</x:v>
      </x:c>
      <x:c r="AI117" s="40" t="str">
        <x:f>IF(OR(K117&lt;&gt;L117,M117&lt;&gt;TRUE,Y117&lt;&gt;TRUE,Z117&lt;&gt;TRUE),"冲突",IF(OR(D117="？",D117="？？？"),"分类冲突待确认",IF(N117&gt;1,"图标一致；具体ID不唯一","图标/名称/来源无已发现冲突")))</x:f>
        <x:v>图标一致；具体ID不唯一</x:v>
      </x:c>
    </x:row>
    <x:row r="118" ht="38" customHeight="1">
      <x:c r="A118" s="35" t="n">
        <x:v>117</x:v>
      </x:c>
      <x:c r="B118" s="35" t="str">
        <x:v>currency_wars_equipment_119</x:v>
      </x:c>
      <x:c r="C118" s="35" t="str">
        <x:v>追逐星辰•特权</x:v>
      </x:c>
      <x:c r="D118" s="35" t="str">
        <x:v>特权装备</x:v>
      </x:c>
      <x:c r="E118" s="35" t="str">
        <x:v>privileged</x:v>
      </x:c>
      <x:c r="F118" s="35" t="str">
        <x:v>是</x:v>
      </x:c>
      <x:c r="G118" s="35" t="str">
        <x:v>是</x:v>
      </x:c>
      <x:c r="H118" s="35" t="str">
        <x:v>currency_wars_equipment_080</x:v>
      </x:c>
      <x:c r="I118" s="35" t="str"/>
      <x:c r="J118" s="35" t="str">
        <x:v>assets/currency_wars_equipment_icons/currency_wars_equipment_119.png</x:v>
      </x:c>
      <x:c r="K118" s="35" t="str">
        <x:v>ef05ef9c99143308d34121776f49b584f899a13afff12bc3d8ae58c6acac8898</x:v>
      </x:c>
      <x:c r="L118" s="35" t="str">
        <x:v>ef05ef9c99143308d34121776f49b584f899a13afff12bc3d8ae58c6acac8898</x:v>
      </x:c>
      <x:c r="M118" s="36" t="b">
        <x:v>1</x:v>
      </x:c>
      <x:c r="N118" s="39" t="n">
        <x:f>COUNTIF($L$2:$L$158,L118)</x:f>
        <x:v>2</x:v>
      </x:c>
      <x:c r="O118" s="39" t="str">
        <x:v>080；119</x:v>
      </x:c>
      <x:c r="P118" s="39" t="str">
        <x:v>追逐星辰；追逐星辰•特权</x:v>
      </x:c>
      <x:c r="Q118" s="35" t="n">
        <x:v>33526</x:v>
      </x:c>
      <x:c r="R118" s="35" t="n">
        <x:v>128</x:v>
      </x:c>
      <x:c r="S118" s="35" t="n">
        <x:v>128</x:v>
      </x:c>
      <x:c r="T118" s="35" t="str">
        <x:v>https://patchwiki.biligame.com/images/sr/7/70/b0d8lme3910kdmbez1qs905zlxudaz6.png</x:v>
      </x:c>
      <x:c r="U118" s="35" t="str">
        <x:v>https://wiki.biligame.com/sr/%E8%BF%BD%E9%80%90%E6%98%9F%E8%BE%B0%E2%80%A2%E7%89%B9%E6%9D%83</x:v>
      </x:c>
      <x:c r="V118" s="35" t="n">
        <x:v>99085</x:v>
      </x:c>
      <x:c r="W118" s="35" t="n">
        <x:v>200</x:v>
      </x:c>
      <x:c r="X118" s="35" t="str">
        <x:v>ef05ef9c99143308d34121776f49b584f899a13afff12bc3d8ae58c6acac8898</x:v>
      </x:c>
      <x:c r="Y118" s="36" t="b">
        <x:v>1</x:v>
      </x:c>
      <x:c r="Z118" s="36" t="b">
        <x:v>1</x:v>
      </x:c>
      <x:c r="AA118" s="35" t="str">
        <x:v>HTTP 200 反爬占位页</x:v>
      </x:c>
      <x:c r="AB118" s="35" t="str"/>
      <x:c r="AC118" s="35" t="str">
        <x:v>equipment-contact-06.png</x:v>
      </x:c>
      <x:c r="AD118" s="35" t="str">
        <x:v>第4行第2列</x:v>
      </x:c>
      <x:c r="AE118" s="35" t="str">
        <x:v>逐项可见；未见空白、破损、异常裁切或相邻错位</x:v>
      </x:c>
      <x:c r="AF118" s="35" t="str">
        <x:v>同图多ID；识别时必须保留CandidateIds/Unknown，不得强收敛</x:v>
      </x:c>
      <x:c r="AG118" s="35" t="str">
        <x:v>BWIKI oldid=99085+PatchWiki；米游社官方资料仅提供玩法或少量条目补充</x:v>
      </x:c>
      <x:c r="AH118" s="35" t="str">
        <x:v>仅凭图标无法区分本簇具体ID</x:v>
      </x:c>
      <x:c r="AI118" s="40" t="str">
        <x:f>IF(OR(K118&lt;&gt;L118,M118&lt;&gt;TRUE,Y118&lt;&gt;TRUE,Z118&lt;&gt;TRUE),"冲突",IF(OR(D118="？",D118="？？？"),"分类冲突待确认",IF(N118&gt;1,"图标一致；具体ID不唯一","图标/名称/来源无已发现冲突")))</x:f>
        <x:v>图标一致；具体ID不唯一</x:v>
      </x:c>
    </x:row>
    <x:row r="119" ht="38" customHeight="1">
      <x:c r="A119" s="35" t="n">
        <x:v>118</x:v>
      </x:c>
      <x:c r="B119" s="35" t="str">
        <x:v>currency_wars_equipment_120</x:v>
      </x:c>
      <x:c r="C119" s="35" t="str">
        <x:v>闪光手榴弹•特权</x:v>
      </x:c>
      <x:c r="D119" s="35" t="str">
        <x:v>特权装备</x:v>
      </x:c>
      <x:c r="E119" s="35" t="str">
        <x:v>privileged</x:v>
      </x:c>
      <x:c r="F119" s="35" t="str">
        <x:v>是</x:v>
      </x:c>
      <x:c r="G119" s="35" t="str">
        <x:v>是</x:v>
      </x:c>
      <x:c r="H119" s="35" t="str">
        <x:v>currency_wars_equipment_081</x:v>
      </x:c>
      <x:c r="I119" s="35" t="str"/>
      <x:c r="J119" s="35" t="str">
        <x:v>assets/currency_wars_equipment_icons/currency_wars_equipment_120.png</x:v>
      </x:c>
      <x:c r="K119" s="35" t="str">
        <x:v>014ef547bca716049301e771bb5f9ff025777d31210818901237269f6872a98b</x:v>
      </x:c>
      <x:c r="L119" s="35" t="str">
        <x:v>014ef547bca716049301e771bb5f9ff025777d31210818901237269f6872a98b</x:v>
      </x:c>
      <x:c r="M119" s="36" t="b">
        <x:v>1</x:v>
      </x:c>
      <x:c r="N119" s="39" t="n">
        <x:f>COUNTIF($L$2:$L$158,L119)</x:f>
        <x:v>2</x:v>
      </x:c>
      <x:c r="O119" s="39" t="str">
        <x:v>081；120</x:v>
      </x:c>
      <x:c r="P119" s="39" t="str">
        <x:v>闪光手榴弹；闪光手榴弹•特权</x:v>
      </x:c>
      <x:c r="Q119" s="35" t="n">
        <x:v>31824</x:v>
      </x:c>
      <x:c r="R119" s="35" t="n">
        <x:v>128</x:v>
      </x:c>
      <x:c r="S119" s="35" t="n">
        <x:v>128</x:v>
      </x:c>
      <x:c r="T119" s="35" t="str">
        <x:v>https://patchwiki.biligame.com/images/sr/8/84/kubtrv6ger3f7d36hfttomyu0smwfvk.png</x:v>
      </x:c>
      <x:c r="U119" s="35" t="str">
        <x:v>https://wiki.biligame.com/sr/%E9%97%AA%E5%85%89%E6%89%8B%E6%A6%B4%E5%BC%B9%E2%80%A2%E7%89%B9%E6%9D%83</x:v>
      </x:c>
      <x:c r="V119" s="35" t="n">
        <x:v>99085</x:v>
      </x:c>
      <x:c r="W119" s="35" t="n">
        <x:v>200</x:v>
      </x:c>
      <x:c r="X119" s="35" t="str">
        <x:v>014ef547bca716049301e771bb5f9ff025777d31210818901237269f6872a98b</x:v>
      </x:c>
      <x:c r="Y119" s="36" t="b">
        <x:v>1</x:v>
      </x:c>
      <x:c r="Z119" s="36" t="b">
        <x:v>1</x:v>
      </x:c>
      <x:c r="AA119" s="35" t="str">
        <x:v>HTTP 200 反爬占位页</x:v>
      </x:c>
      <x:c r="AB119" s="35" t="str"/>
      <x:c r="AC119" s="35" t="str">
        <x:v>equipment-contact-06.png</x:v>
      </x:c>
      <x:c r="AD119" s="35" t="str">
        <x:v>第4行第3列</x:v>
      </x:c>
      <x:c r="AE119" s="35" t="str">
        <x:v>逐项可见；未见空白、破损、异常裁切或相邻错位</x:v>
      </x:c>
      <x:c r="AF119" s="35" t="str">
        <x:v>同图多ID；识别时必须保留CandidateIds/Unknown，不得强收敛</x:v>
      </x:c>
      <x:c r="AG119" s="35" t="str">
        <x:v>BWIKI oldid=99085+PatchWiki；米游社官方资料仅提供玩法或少量条目补充</x:v>
      </x:c>
      <x:c r="AH119" s="35" t="str">
        <x:v>仅凭图标无法区分本簇具体ID</x:v>
      </x:c>
      <x:c r="AI119" s="40" t="str">
        <x:f>IF(OR(K119&lt;&gt;L119,M119&lt;&gt;TRUE,Y119&lt;&gt;TRUE,Z119&lt;&gt;TRUE),"冲突",IF(OR(D119="？",D119="？？？"),"分类冲突待确认",IF(N119&gt;1,"图标一致；具体ID不唯一","图标/名称/来源无已发现冲突")))</x:f>
        <x:v>图标一致；具体ID不唯一</x:v>
      </x:c>
    </x:row>
    <x:row r="120" ht="38" customHeight="1">
      <x:c r="A120" s="35" t="n">
        <x:v>119</x:v>
      </x:c>
      <x:c r="B120" s="35" t="str">
        <x:v>currency_wars_equipment_121</x:v>
      </x:c>
      <x:c r="C120" s="35" t="str">
        <x:v>随便骰子•特权</x:v>
      </x:c>
      <x:c r="D120" s="35" t="str">
        <x:v>特权装备</x:v>
      </x:c>
      <x:c r="E120" s="35" t="str">
        <x:v>privileged</x:v>
      </x:c>
      <x:c r="F120" s="35" t="str">
        <x:v>是</x:v>
      </x:c>
      <x:c r="G120" s="35" t="str">
        <x:v>是</x:v>
      </x:c>
      <x:c r="H120" s="35" t="str">
        <x:v>currency_wars_equipment_082</x:v>
      </x:c>
      <x:c r="I120" s="35" t="str"/>
      <x:c r="J120" s="35" t="str">
        <x:v>assets/currency_wars_equipment_icons/currency_wars_equipment_121.png</x:v>
      </x:c>
      <x:c r="K120" s="35" t="str">
        <x:v>41503631a9126cb5eff4a7386e577541e7a29c980222264e131febf96517b31b</x:v>
      </x:c>
      <x:c r="L120" s="35" t="str">
        <x:v>41503631a9126cb5eff4a7386e577541e7a29c980222264e131febf96517b31b</x:v>
      </x:c>
      <x:c r="M120" s="36" t="b">
        <x:v>1</x:v>
      </x:c>
      <x:c r="N120" s="39" t="n">
        <x:f>COUNTIF($L$2:$L$158,L120)</x:f>
        <x:v>2</x:v>
      </x:c>
      <x:c r="O120" s="39" t="str">
        <x:v>082；121</x:v>
      </x:c>
      <x:c r="P120" s="39" t="str">
        <x:v>随便骰子；随便骰子•特权</x:v>
      </x:c>
      <x:c r="Q120" s="35" t="n">
        <x:v>24563</x:v>
      </x:c>
      <x:c r="R120" s="35" t="n">
        <x:v>128</x:v>
      </x:c>
      <x:c r="S120" s="35" t="n">
        <x:v>128</x:v>
      </x:c>
      <x:c r="T120" s="35" t="str">
        <x:v>https://patchwiki.biligame.com/images/sr/3/3d/2r86qfn8jis73yz7ymp1keg0ljkppe8.png</x:v>
      </x:c>
      <x:c r="U120" s="35" t="str">
        <x:v>https://wiki.biligame.com/sr/%E9%9A%8F%E4%BE%BF%E9%AA%B0%E5%AD%90%E2%80%A2%E7%89%B9%E6%9D%83</x:v>
      </x:c>
      <x:c r="V120" s="35" t="n">
        <x:v>99085</x:v>
      </x:c>
      <x:c r="W120" s="35" t="n">
        <x:v>200</x:v>
      </x:c>
      <x:c r="X120" s="35" t="str">
        <x:v>41503631a9126cb5eff4a7386e577541e7a29c980222264e131febf96517b31b</x:v>
      </x:c>
      <x:c r="Y120" s="36" t="b">
        <x:v>1</x:v>
      </x:c>
      <x:c r="Z120" s="36" t="b">
        <x:v>1</x:v>
      </x:c>
      <x:c r="AA120" s="35" t="str">
        <x:v>HTTP 200 反爬占位页</x:v>
      </x:c>
      <x:c r="AB120" s="35" t="str"/>
      <x:c r="AC120" s="35" t="str">
        <x:v>equipment-contact-06.png</x:v>
      </x:c>
      <x:c r="AD120" s="35" t="str">
        <x:v>第4行第4列</x:v>
      </x:c>
      <x:c r="AE120" s="35" t="str">
        <x:v>逐项可见；未见空白、破损、异常裁切或相邻错位</x:v>
      </x:c>
      <x:c r="AF120" s="35" t="str">
        <x:v>同图多ID；识别时必须保留CandidateIds/Unknown，不得强收敛</x:v>
      </x:c>
      <x:c r="AG120" s="35" t="str">
        <x:v>BWIKI oldid=99085+PatchWiki；米游社官方资料仅提供玩法或少量条目补充</x:v>
      </x:c>
      <x:c r="AH120" s="35" t="str">
        <x:v>仅凭图标无法区分本簇具体ID</x:v>
      </x:c>
      <x:c r="AI120" s="40" t="str">
        <x:f>IF(OR(K120&lt;&gt;L120,M120&lt;&gt;TRUE,Y120&lt;&gt;TRUE,Z120&lt;&gt;TRUE),"冲突",IF(OR(D120="？",D120="？？？"),"分类冲突待确认",IF(N120&gt;1,"图标一致；具体ID不唯一","图标/名称/来源无已发现冲突")))</x:f>
        <x:v>图标一致；具体ID不唯一</x:v>
      </x:c>
    </x:row>
    <x:row r="121" ht="38" customHeight="1">
      <x:c r="A121" s="35" t="n">
        <x:v>120</x:v>
      </x:c>
      <x:c r="B121" s="35" t="str">
        <x:v>currency_wars_equipment_122</x:v>
      </x:c>
      <x:c r="C121" s="35" t="str">
        <x:v>高周波电锯•特权</x:v>
      </x:c>
      <x:c r="D121" s="35" t="str">
        <x:v>特权装备</x:v>
      </x:c>
      <x:c r="E121" s="35" t="str">
        <x:v>privileged</x:v>
      </x:c>
      <x:c r="F121" s="35" t="str">
        <x:v>是</x:v>
      </x:c>
      <x:c r="G121" s="35" t="str">
        <x:v>是</x:v>
      </x:c>
      <x:c r="H121" s="35" t="str">
        <x:v>currency_wars_equipment_083</x:v>
      </x:c>
      <x:c r="I121" s="35" t="str"/>
      <x:c r="J121" s="35" t="str">
        <x:v>assets/currency_wars_equipment_icons/currency_wars_equipment_122.png</x:v>
      </x:c>
      <x:c r="K121" s="35" t="str">
        <x:v>68bb0c44f85d14e6d41ada9323292b90c02acd6ff956315e456b912f73c8bf4e</x:v>
      </x:c>
      <x:c r="L121" s="35" t="str">
        <x:v>68bb0c44f85d14e6d41ada9323292b90c02acd6ff956315e456b912f73c8bf4e</x:v>
      </x:c>
      <x:c r="M121" s="36" t="b">
        <x:v>1</x:v>
      </x:c>
      <x:c r="N121" s="39" t="n">
        <x:f>COUNTIF($L$2:$L$158,L121)</x:f>
        <x:v>2</x:v>
      </x:c>
      <x:c r="O121" s="39" t="str">
        <x:v>083；122</x:v>
      </x:c>
      <x:c r="P121" s="39" t="str">
        <x:v>高周波电锯；高周波电锯•特权</x:v>
      </x:c>
      <x:c r="Q121" s="35" t="n">
        <x:v>30328</x:v>
      </x:c>
      <x:c r="R121" s="35" t="n">
        <x:v>128</x:v>
      </x:c>
      <x:c r="S121" s="35" t="n">
        <x:v>128</x:v>
      </x:c>
      <x:c r="T121" s="35" t="str">
        <x:v>https://patchwiki.biligame.com/images/sr/9/9a/295dp1qdznous57998ddav5rpftk3q2.png</x:v>
      </x:c>
      <x:c r="U121" s="35" t="str">
        <x:v>https://wiki.biligame.com/sr/%E9%AB%98%E5%91%A8%E6%B3%A2%E7%94%B5%E9%94%AF%E2%80%A2%E7%89%B9%E6%9D%83</x:v>
      </x:c>
      <x:c r="V121" s="35" t="n">
        <x:v>99085</x:v>
      </x:c>
      <x:c r="W121" s="35" t="n">
        <x:v>200</x:v>
      </x:c>
      <x:c r="X121" s="35" t="str">
        <x:v>68bb0c44f85d14e6d41ada9323292b90c02acd6ff956315e456b912f73c8bf4e</x:v>
      </x:c>
      <x:c r="Y121" s="36" t="b">
        <x:v>1</x:v>
      </x:c>
      <x:c r="Z121" s="36" t="b">
        <x:v>1</x:v>
      </x:c>
      <x:c r="AA121" s="35" t="str">
        <x:v>HTTP 200 反爬占位页</x:v>
      </x:c>
      <x:c r="AB121" s="35" t="str"/>
      <x:c r="AC121" s="35" t="str">
        <x:v>equipment-contact-06.png</x:v>
      </x:c>
      <x:c r="AD121" s="35" t="str">
        <x:v>第4行第5列</x:v>
      </x:c>
      <x:c r="AE121" s="35" t="str">
        <x:v>逐项可见；未见空白、破损、异常裁切或相邻错位</x:v>
      </x:c>
      <x:c r="AF121" s="35" t="str">
        <x:v>同图多ID；识别时必须保留CandidateIds/Unknown，不得强收敛</x:v>
      </x:c>
      <x:c r="AG121" s="35" t="str">
        <x:v>BWIKI oldid=99085+PatchWiki；米游社官方资料仅提供玩法或少量条目补充</x:v>
      </x:c>
      <x:c r="AH121" s="35" t="str">
        <x:v>仅凭图标无法区分本簇具体ID</x:v>
      </x:c>
      <x:c r="AI121" s="40" t="str">
        <x:f>IF(OR(K121&lt;&gt;L121,M121&lt;&gt;TRUE,Y121&lt;&gt;TRUE,Z121&lt;&gt;TRUE),"冲突",IF(OR(D121="？",D121="？？？"),"分类冲突待确认",IF(N121&gt;1,"图标一致；具体ID不唯一","图标/名称/来源无已发现冲突")))</x:f>
        <x:v>图标一致；具体ID不唯一</x:v>
      </x:c>
    </x:row>
    <x:row r="122" ht="38" customHeight="1">
      <x:c r="A122" s="35" t="n">
        <x:v>121</x:v>
      </x:c>
      <x:c r="B122" s="35" t="str">
        <x:v>currency_wars_equipment_123</x:v>
      </x:c>
      <x:c r="C122" s="35" t="str">
        <x:v>仙舟星徽</x:v>
      </x:c>
      <x:c r="D122" s="35" t="str">
        <x:v>阵营星徽</x:v>
      </x:c>
      <x:c r="E122" s="35" t="str">
        <x:v>faction_emblem</x:v>
      </x:c>
      <x:c r="F122" s="35" t="str">
        <x:v>是</x:v>
      </x:c>
      <x:c r="G122" s="35" t="str">
        <x:v>是</x:v>
      </x:c>
      <x:c r="H122" s="35" t="str"/>
      <x:c r="I122" s="35" t="str">
        <x:v>currency_wars_equipment_084；currency_wars_equipment_044</x:v>
      </x:c>
      <x:c r="J122" s="35" t="str">
        <x:v>assets/currency_wars_equipment_icons/currency_wars_equipment_123.png</x:v>
      </x:c>
      <x:c r="K122" s="35" t="str">
        <x:v>38a5e8c5f8a6501e4f39d29f089f8285f6c436da2e3565efb22ebb032fc10ead</x:v>
      </x:c>
      <x:c r="L122" s="35" t="str">
        <x:v>38a5e8c5f8a6501e4f39d29f089f8285f6c436da2e3565efb22ebb032fc10ead</x:v>
      </x:c>
      <x:c r="M122" s="36" t="b">
        <x:v>1</x:v>
      </x:c>
      <x:c r="N122" s="35" t="n">
        <x:f>COUNTIF($L$2:$L$158,L122)</x:f>
        <x:v>1</x:v>
      </x:c>
      <x:c r="O122" s="35" t="str">
        <x:v>123</x:v>
      </x:c>
      <x:c r="P122" s="35" t="str">
        <x:v>仙舟星徽</x:v>
      </x:c>
      <x:c r="Q122" s="35" t="n">
        <x:v>27148</x:v>
      </x:c>
      <x:c r="R122" s="35" t="n">
        <x:v>128</x:v>
      </x:c>
      <x:c r="S122" s="35" t="n">
        <x:v>128</x:v>
      </x:c>
      <x:c r="T122" s="35" t="str">
        <x:v>https://patchwiki.biligame.com/images/sr/2/2b/dtb6cawn7laskup2sv7snm7j61d5hf7.png</x:v>
      </x:c>
      <x:c r="U122" s="35" t="str">
        <x:v>https://wiki.biligame.com/sr/%E4%BB%99%E8%88%9F%E6%98%9F%E5%BE%BD</x:v>
      </x:c>
      <x:c r="V122" s="35" t="n">
        <x:v>99085</x:v>
      </x:c>
      <x:c r="W122" s="35" t="n">
        <x:v>200</x:v>
      </x:c>
      <x:c r="X122" s="35" t="str">
        <x:v>38a5e8c5f8a6501e4f39d29f089f8285f6c436da2e3565efb22ebb032fc10ead</x:v>
      </x:c>
      <x:c r="Y122" s="36" t="b">
        <x:v>1</x:v>
      </x:c>
      <x:c r="Z122" s="36" t="b">
        <x:v>1</x:v>
      </x:c>
      <x:c r="AA122" s="35" t="str">
        <x:v>HTTP 200 反爬占位页</x:v>
      </x:c>
      <x:c r="AB122" s="35" t="str"/>
      <x:c r="AC122" s="35" t="str">
        <x:v>equipment-contact-07.png</x:v>
      </x:c>
      <x:c r="AD122" s="35" t="str">
        <x:v>第1行第1列</x:v>
      </x:c>
      <x:c r="AE122" s="35" t="str">
        <x:v>逐项可见；未见空白、破损、异常裁切或相邻错位</x:v>
      </x:c>
      <x:c r="AF122" s="35" t="str">
        <x:v>本地哈希唯一；未发现图标与名称错位</x:v>
      </x:c>
      <x:c r="AG122" s="35" t="str">
        <x:v>BWIKI oldid=99085+PatchWiki；米游社官方资料仅提供玩法或少量条目补充</x:v>
      </x:c>
      <x:c r="AH122" s="35" t="str">
        <x:v>单条详情页本轮受限流/反爬影响，未获得独立页面实证</x:v>
      </x:c>
      <x:c r="AI122" s="38" t="str">
        <x:f>IF(OR(K122&lt;&gt;L122,M122&lt;&gt;TRUE,Y122&lt;&gt;TRUE,Z122&lt;&gt;TRUE),"冲突",IF(OR(D122="？",D122="？？？"),"分类冲突待确认",IF(N122&gt;1,"图标一致；具体ID不唯一","图标/名称/来源无已发现冲突")))</x:f>
        <x:v>图标/名称/来源无已发现冲突</x:v>
      </x:c>
    </x:row>
    <x:row r="123" ht="38" customHeight="1">
      <x:c r="A123" s="35" t="n">
        <x:v>122</x:v>
      </x:c>
      <x:c r="B123" s="35" t="str">
        <x:v>currency_wars_equipment_124</x:v>
      </x:c>
      <x:c r="C123" s="35" t="str">
        <x:v>列车同行星徽</x:v>
      </x:c>
      <x:c r="D123" s="35" t="str">
        <x:v>阵营星徽</x:v>
      </x:c>
      <x:c r="E123" s="35" t="str">
        <x:v>faction_emblem</x:v>
      </x:c>
      <x:c r="F123" s="35" t="str">
        <x:v>是</x:v>
      </x:c>
      <x:c r="G123" s="35" t="str">
        <x:v>是</x:v>
      </x:c>
      <x:c r="H123" s="35" t="str"/>
      <x:c r="I123" s="35" t="str"/>
      <x:c r="J123" s="35" t="str">
        <x:v>assets/currency_wars_equipment_icons/currency_wars_equipment_124.png</x:v>
      </x:c>
      <x:c r="K123" s="35" t="str">
        <x:v>2869b5b66d622304f025a8128beea24990f68ece240482a1765a59a6301e70b3</x:v>
      </x:c>
      <x:c r="L123" s="35" t="str">
        <x:v>2869b5b66d622304f025a8128beea24990f68ece240482a1765a59a6301e70b3</x:v>
      </x:c>
      <x:c r="M123" s="36" t="b">
        <x:v>1</x:v>
      </x:c>
      <x:c r="N123" s="35" t="n">
        <x:f>COUNTIF($L$2:$L$158,L123)</x:f>
        <x:v>1</x:v>
      </x:c>
      <x:c r="O123" s="35" t="str">
        <x:v>124</x:v>
      </x:c>
      <x:c r="P123" s="35" t="str">
        <x:v>列车同行星徽</x:v>
      </x:c>
      <x:c r="Q123" s="35" t="n">
        <x:v>25846</x:v>
      </x:c>
      <x:c r="R123" s="35" t="n">
        <x:v>128</x:v>
      </x:c>
      <x:c r="S123" s="35" t="n">
        <x:v>128</x:v>
      </x:c>
      <x:c r="T123" s="35" t="str">
        <x:v>https://patchwiki.biligame.com/images/sr/c/c6/tkj5rv3wtbmt6wa5uplhrxam2j0oyow.png</x:v>
      </x:c>
      <x:c r="U123" s="35" t="str">
        <x:v>https://wiki.biligame.com/sr/%E5%88%97%E8%BD%A6%E5%90%8C%E8%A1%8C%E6%98%9F%E5%BE%BD</x:v>
      </x:c>
      <x:c r="V123" s="35" t="n">
        <x:v>99085</x:v>
      </x:c>
      <x:c r="W123" s="35" t="n">
        <x:v>200</x:v>
      </x:c>
      <x:c r="X123" s="35" t="str">
        <x:v>2869b5b66d622304f025a8128beea24990f68ece240482a1765a59a6301e70b3</x:v>
      </x:c>
      <x:c r="Y123" s="36" t="b">
        <x:v>1</x:v>
      </x:c>
      <x:c r="Z123" s="36" t="b">
        <x:v>1</x:v>
      </x:c>
      <x:c r="AA123" s="35" t="str">
        <x:v>HTTP 200 反爬占位页</x:v>
      </x:c>
      <x:c r="AB123" s="35" t="str"/>
      <x:c r="AC123" s="35" t="str">
        <x:v>equipment-contact-07.png</x:v>
      </x:c>
      <x:c r="AD123" s="35" t="str">
        <x:v>第1行第2列</x:v>
      </x:c>
      <x:c r="AE123" s="35" t="str">
        <x:v>逐项可见；未见空白、破损、异常裁切或相邻错位</x:v>
      </x:c>
      <x:c r="AF123" s="35" t="str">
        <x:v>本地哈希唯一；未发现图标与名称错位</x:v>
      </x:c>
      <x:c r="AG123" s="35" t="str">
        <x:v>BWIKI oldid=99085+PatchWiki；米游社官方资料仅提供玩法或少量条目补充</x:v>
      </x:c>
      <x:c r="AH123" s="35" t="str">
        <x:v>单条详情页本轮受限流/反爬影响，未获得独立页面实证</x:v>
      </x:c>
      <x:c r="AI123" s="38" t="str">
        <x:f>IF(OR(K123&lt;&gt;L123,M123&lt;&gt;TRUE,Y123&lt;&gt;TRUE,Z123&lt;&gt;TRUE),"冲突",IF(OR(D123="？",D123="？？？"),"分类冲突待确认",IF(N123&gt;1,"图标一致；具体ID不唯一","图标/名称/来源无已发现冲突")))</x:f>
        <x:v>图标/名称/来源无已发现冲突</x:v>
      </x:c>
    </x:row>
    <x:row r="124" ht="38" customHeight="1">
      <x:c r="A124" s="35" t="n">
        <x:v>123</x:v>
      </x:c>
      <x:c r="B124" s="35" t="str">
        <x:v>currency_wars_equipment_125</x:v>
      </x:c>
      <x:c r="C124" s="35" t="str">
        <x:v>夜之半神星徽</x:v>
      </x:c>
      <x:c r="D124" s="35" t="str">
        <x:v>阵营星徽</x:v>
      </x:c>
      <x:c r="E124" s="35" t="str">
        <x:v>faction_emblem</x:v>
      </x:c>
      <x:c r="F124" s="35" t="str">
        <x:v>是</x:v>
      </x:c>
      <x:c r="G124" s="35" t="str">
        <x:v>是</x:v>
      </x:c>
      <x:c r="H124" s="35" t="str"/>
      <x:c r="I124" s="35" t="str">
        <x:v>currency_wars_equipment_084；currency_wars_equipment_042</x:v>
      </x:c>
      <x:c r="J124" s="35" t="str">
        <x:v>assets/currency_wars_equipment_icons/currency_wars_equipment_125.png</x:v>
      </x:c>
      <x:c r="K124" s="35" t="str">
        <x:v>aa71050e1b417b0fd8e55512fbbc3a97d5cf5c0b53d8b92ffca2f775c3a8e688</x:v>
      </x:c>
      <x:c r="L124" s="35" t="str">
        <x:v>aa71050e1b417b0fd8e55512fbbc3a97d5cf5c0b53d8b92ffca2f775c3a8e688</x:v>
      </x:c>
      <x:c r="M124" s="36" t="b">
        <x:v>1</x:v>
      </x:c>
      <x:c r="N124" s="35" t="n">
        <x:f>COUNTIF($L$2:$L$158,L124)</x:f>
        <x:v>1</x:v>
      </x:c>
      <x:c r="O124" s="35" t="str">
        <x:v>125</x:v>
      </x:c>
      <x:c r="P124" s="35" t="str">
        <x:v>夜之半神星徽</x:v>
      </x:c>
      <x:c r="Q124" s="35" t="n">
        <x:v>25909</x:v>
      </x:c>
      <x:c r="R124" s="35" t="n">
        <x:v>128</x:v>
      </x:c>
      <x:c r="S124" s="35" t="n">
        <x:v>128</x:v>
      </x:c>
      <x:c r="T124" s="35" t="str">
        <x:v>https://patchwiki.biligame.com/images/sr/6/63/lbdmz7g25pygp32wxfvrj3qstk47c39.png</x:v>
      </x:c>
      <x:c r="U124" s="35" t="str">
        <x:v>https://wiki.biligame.com/sr/%E5%A4%9C%E4%B9%8B%E5%8D%8A%E7%A5%9E%E6%98%9F%E5%BE%BD</x:v>
      </x:c>
      <x:c r="V124" s="35" t="n">
        <x:v>99085</x:v>
      </x:c>
      <x:c r="W124" s="35" t="n">
        <x:v>200</x:v>
      </x:c>
      <x:c r="X124" s="35" t="str">
        <x:v>aa71050e1b417b0fd8e55512fbbc3a97d5cf5c0b53d8b92ffca2f775c3a8e688</x:v>
      </x:c>
      <x:c r="Y124" s="36" t="b">
        <x:v>1</x:v>
      </x:c>
      <x:c r="Z124" s="36" t="b">
        <x:v>1</x:v>
      </x:c>
      <x:c r="AA124" s="35" t="str">
        <x:v>HTTP 200 反爬占位页</x:v>
      </x:c>
      <x:c r="AB124" s="35" t="str"/>
      <x:c r="AC124" s="35" t="str">
        <x:v>equipment-contact-07.png</x:v>
      </x:c>
      <x:c r="AD124" s="35" t="str">
        <x:v>第1行第3列</x:v>
      </x:c>
      <x:c r="AE124" s="35" t="str">
        <x:v>逐项可见；未见空白、破损、异常裁切或相邻错位</x:v>
      </x:c>
      <x:c r="AF124" s="35" t="str">
        <x:v>本地哈希唯一；未发现图标与名称错位</x:v>
      </x:c>
      <x:c r="AG124" s="35" t="str">
        <x:v>BWIKI oldid=99085+PatchWiki；米游社官方资料仅提供玩法或少量条目补充</x:v>
      </x:c>
      <x:c r="AH124" s="35" t="str">
        <x:v>单条详情页本轮受限流/反爬影响，未获得独立页面实证</x:v>
      </x:c>
      <x:c r="AI124" s="38" t="str">
        <x:f>IF(OR(K124&lt;&gt;L124,M124&lt;&gt;TRUE,Y124&lt;&gt;TRUE,Z124&lt;&gt;TRUE),"冲突",IF(OR(D124="？",D124="？？？"),"分类冲突待确认",IF(N124&gt;1,"图标一致；具体ID不唯一","图标/名称/来源无已发现冲突")))</x:f>
        <x:v>图标/名称/来源无已发现冲突</x:v>
      </x:c>
    </x:row>
    <x:row r="125" ht="38" customHeight="1">
      <x:c r="A125" s="35" t="n">
        <x:v>124</x:v>
      </x:c>
      <x:c r="B125" s="35" t="str">
        <x:v>currency_wars_equipment_126</x:v>
      </x:c>
      <x:c r="C125" s="35" t="str">
        <x:v>星间旅人星徽</x:v>
      </x:c>
      <x:c r="D125" s="35" t="str">
        <x:v>阵营星徽</x:v>
      </x:c>
      <x:c r="E125" s="35" t="str">
        <x:v>faction_emblem</x:v>
      </x:c>
      <x:c r="F125" s="35" t="str">
        <x:v>是</x:v>
      </x:c>
      <x:c r="G125" s="35" t="str">
        <x:v>是</x:v>
      </x:c>
      <x:c r="H125" s="35" t="str"/>
      <x:c r="I125" s="35" t="str">
        <x:v>currency_wars_equipment_084；currency_wars_equipment_040</x:v>
      </x:c>
      <x:c r="J125" s="35" t="str">
        <x:v>assets/currency_wars_equipment_icons/currency_wars_equipment_126.png</x:v>
      </x:c>
      <x:c r="K125" s="35" t="str">
        <x:v>c16bcfcf474563dc9990b04fe05763aff710c3d8faed01b11adc4ddf9d2410bc</x:v>
      </x:c>
      <x:c r="L125" s="35" t="str">
        <x:v>c16bcfcf474563dc9990b04fe05763aff710c3d8faed01b11adc4ddf9d2410bc</x:v>
      </x:c>
      <x:c r="M125" s="36" t="b">
        <x:v>1</x:v>
      </x:c>
      <x:c r="N125" s="35" t="n">
        <x:f>COUNTIF($L$2:$L$158,L125)</x:f>
        <x:v>1</x:v>
      </x:c>
      <x:c r="O125" s="35" t="str">
        <x:v>126</x:v>
      </x:c>
      <x:c r="P125" s="35" t="str">
        <x:v>星间旅人星徽</x:v>
      </x:c>
      <x:c r="Q125" s="35" t="n">
        <x:v>26082</x:v>
      </x:c>
      <x:c r="R125" s="35" t="n">
        <x:v>128</x:v>
      </x:c>
      <x:c r="S125" s="35" t="n">
        <x:v>128</x:v>
      </x:c>
      <x:c r="T125" s="35" t="str">
        <x:v>https://patchwiki.biligame.com/images/sr/5/55/o1i8w4wb2rvqrhv8f2jjagfvo24v784.png</x:v>
      </x:c>
      <x:c r="U125" s="35" t="str">
        <x:v>https://wiki.biligame.com/sr/%E6%98%9F%E9%97%B4%E6%97%85%E4%BA%BA%E6%98%9F%E5%BE%BD</x:v>
      </x:c>
      <x:c r="V125" s="35" t="n">
        <x:v>99085</x:v>
      </x:c>
      <x:c r="W125" s="35" t="n">
        <x:v>200</x:v>
      </x:c>
      <x:c r="X125" s="35" t="str">
        <x:v>c16bcfcf474563dc9990b04fe05763aff710c3d8faed01b11adc4ddf9d2410bc</x:v>
      </x:c>
      <x:c r="Y125" s="36" t="b">
        <x:v>1</x:v>
      </x:c>
      <x:c r="Z125" s="36" t="b">
        <x:v>1</x:v>
      </x:c>
      <x:c r="AA125" s="35" t="str">
        <x:v>HTTP 200 反爬占位页</x:v>
      </x:c>
      <x:c r="AB125" s="35" t="str"/>
      <x:c r="AC125" s="35" t="str">
        <x:v>equipment-contact-07.png</x:v>
      </x:c>
      <x:c r="AD125" s="35" t="str">
        <x:v>第1行第4列</x:v>
      </x:c>
      <x:c r="AE125" s="35" t="str">
        <x:v>逐项可见；未见空白、破损、异常裁切或相邻错位</x:v>
      </x:c>
      <x:c r="AF125" s="35" t="str">
        <x:v>本地哈希唯一；未发现图标与名称错位</x:v>
      </x:c>
      <x:c r="AG125" s="35" t="str">
        <x:v>BWIKI oldid=99085+PatchWiki；米游社官方资料仅提供玩法或少量条目补充</x:v>
      </x:c>
      <x:c r="AH125" s="35" t="str">
        <x:v>单条详情页本轮受限流/反爬影响，未获得独立页面实证</x:v>
      </x:c>
      <x:c r="AI125" s="38" t="str">
        <x:f>IF(OR(K125&lt;&gt;L125,M125&lt;&gt;TRUE,Y125&lt;&gt;TRUE,Z125&lt;&gt;TRUE),"冲突",IF(OR(D125="？",D125="？？？"),"分类冲突待确认",IF(N125&gt;1,"图标一致；具体ID不唯一","图标/名称/来源无已发现冲突")))</x:f>
        <x:v>图标/名称/来源无已发现冲突</x:v>
      </x:c>
    </x:row>
    <x:row r="126" ht="38" customHeight="1">
      <x:c r="A126" s="35" t="n">
        <x:v>125</x:v>
      </x:c>
      <x:c r="B126" s="35" t="str">
        <x:v>currency_wars_equipment_127</x:v>
      </x:c>
      <x:c r="C126" s="35" t="str">
        <x:v>昼之半神星徽</x:v>
      </x:c>
      <x:c r="D126" s="35" t="str">
        <x:v>阵营星徽</x:v>
      </x:c>
      <x:c r="E126" s="35" t="str">
        <x:v>faction_emblem</x:v>
      </x:c>
      <x:c r="F126" s="35" t="str">
        <x:v>是</x:v>
      </x:c>
      <x:c r="G126" s="35" t="str">
        <x:v>是</x:v>
      </x:c>
      <x:c r="H126" s="35" t="str"/>
      <x:c r="I126" s="35" t="str">
        <x:v>currency_wars_equipment_084；currency_wars_equipment_046</x:v>
      </x:c>
      <x:c r="J126" s="35" t="str">
        <x:v>assets/currency_wars_equipment_icons/currency_wars_equipment_127.png</x:v>
      </x:c>
      <x:c r="K126" s="35" t="str">
        <x:v>dccf11fdb09f71f7f570f079cfd58863fd7757dad39bdba3ff03eee4349c0c56</x:v>
      </x:c>
      <x:c r="L126" s="35" t="str">
        <x:v>dccf11fdb09f71f7f570f079cfd58863fd7757dad39bdba3ff03eee4349c0c56</x:v>
      </x:c>
      <x:c r="M126" s="36" t="b">
        <x:v>1</x:v>
      </x:c>
      <x:c r="N126" s="35" t="n">
        <x:f>COUNTIF($L$2:$L$158,L126)</x:f>
        <x:v>1</x:v>
      </x:c>
      <x:c r="O126" s="35" t="str">
        <x:v>127</x:v>
      </x:c>
      <x:c r="P126" s="35" t="str">
        <x:v>昼之半神星徽</x:v>
      </x:c>
      <x:c r="Q126" s="35" t="n">
        <x:v>26680</x:v>
      </x:c>
      <x:c r="R126" s="35" t="n">
        <x:v>128</x:v>
      </x:c>
      <x:c r="S126" s="35" t="n">
        <x:v>128</x:v>
      </x:c>
      <x:c r="T126" s="35" t="str">
        <x:v>https://patchwiki.biligame.com/images/sr/a/a3/9p2645jqpndr6gmn7zybd1h0xo8ym68.png</x:v>
      </x:c>
      <x:c r="U126" s="35" t="str">
        <x:v>https://wiki.biligame.com/sr/%E6%98%BC%E4%B9%8B%E5%8D%8A%E7%A5%9E%E6%98%9F%E5%BE%BD</x:v>
      </x:c>
      <x:c r="V126" s="35" t="n">
        <x:v>99085</x:v>
      </x:c>
      <x:c r="W126" s="35" t="n">
        <x:v>200</x:v>
      </x:c>
      <x:c r="X126" s="35" t="str">
        <x:v>dccf11fdb09f71f7f570f079cfd58863fd7757dad39bdba3ff03eee4349c0c56</x:v>
      </x:c>
      <x:c r="Y126" s="36" t="b">
        <x:v>1</x:v>
      </x:c>
      <x:c r="Z126" s="36" t="b">
        <x:v>1</x:v>
      </x:c>
      <x:c r="AA126" s="35" t="str">
        <x:v>HTTP 200 反爬占位页</x:v>
      </x:c>
      <x:c r="AB126" s="35" t="str"/>
      <x:c r="AC126" s="35" t="str">
        <x:v>equipment-contact-07.png</x:v>
      </x:c>
      <x:c r="AD126" s="35" t="str">
        <x:v>第1行第5列</x:v>
      </x:c>
      <x:c r="AE126" s="35" t="str">
        <x:v>逐项可见；未见空白、破损、异常裁切或相邻错位</x:v>
      </x:c>
      <x:c r="AF126" s="35" t="str">
        <x:v>本地哈希唯一；未发现图标与名称错位</x:v>
      </x:c>
      <x:c r="AG126" s="35" t="str">
        <x:v>BWIKI oldid=99085+PatchWiki；米游社官方资料仅提供玩法或少量条目补充</x:v>
      </x:c>
      <x:c r="AH126" s="35" t="str">
        <x:v>单条详情页本轮受限流/反爬影响，未获得独立页面实证</x:v>
      </x:c>
      <x:c r="AI126" s="38" t="str">
        <x:f>IF(OR(K126&lt;&gt;L126,M126&lt;&gt;TRUE,Y126&lt;&gt;TRUE,Z126&lt;&gt;TRUE),"冲突",IF(OR(D126="？",D126="？？？"),"分类冲突待确认",IF(N126&gt;1,"图标一致；具体ID不唯一","图标/名称/来源无已发现冲突")))</x:f>
        <x:v>图标/名称/来源无已发现冲突</x:v>
      </x:c>
    </x:row>
    <x:row r="127" ht="38" customHeight="1">
      <x:c r="A127" s="35" t="n">
        <x:v>126</x:v>
      </x:c>
      <x:c r="B127" s="35" t="str">
        <x:v>currency_wars_equipment_128</x:v>
      </x:c>
      <x:c r="C127" s="35" t="str">
        <x:v>狼狩星徽</x:v>
      </x:c>
      <x:c r="D127" s="35" t="str">
        <x:v>阵营星徽</x:v>
      </x:c>
      <x:c r="E127" s="35" t="str">
        <x:v>faction_emblem</x:v>
      </x:c>
      <x:c r="F127" s="35" t="str">
        <x:v>是</x:v>
      </x:c>
      <x:c r="G127" s="35" t="str">
        <x:v>是</x:v>
      </x:c>
      <x:c r="H127" s="35" t="str"/>
      <x:c r="I127" s="35" t="str">
        <x:v>currency_wars_equipment_084；currency_wars_equipment_045</x:v>
      </x:c>
      <x:c r="J127" s="35" t="str">
        <x:v>assets/currency_wars_equipment_icons/currency_wars_equipment_128.png</x:v>
      </x:c>
      <x:c r="K127" s="35" t="str">
        <x:v>9f2a9834bcd8371c975a437b2b5cf1152563aad16093868017f4f7f19489e37c</x:v>
      </x:c>
      <x:c r="L127" s="35" t="str">
        <x:v>9f2a9834bcd8371c975a437b2b5cf1152563aad16093868017f4f7f19489e37c</x:v>
      </x:c>
      <x:c r="M127" s="36" t="b">
        <x:v>1</x:v>
      </x:c>
      <x:c r="N127" s="35" t="n">
        <x:f>COUNTIF($L$2:$L$158,L127)</x:f>
        <x:v>1</x:v>
      </x:c>
      <x:c r="O127" s="35" t="str">
        <x:v>128</x:v>
      </x:c>
      <x:c r="P127" s="35" t="str">
        <x:v>狼狩星徽</x:v>
      </x:c>
      <x:c r="Q127" s="35" t="n">
        <x:v>26614</x:v>
      </x:c>
      <x:c r="R127" s="35" t="n">
        <x:v>128</x:v>
      </x:c>
      <x:c r="S127" s="35" t="n">
        <x:v>128</x:v>
      </x:c>
      <x:c r="T127" s="35" t="str">
        <x:v>https://patchwiki.biligame.com/images/sr/c/cd/9vasx98ucji1qjf4gl29g6esbxhs5ry.png</x:v>
      </x:c>
      <x:c r="U127" s="35" t="str">
        <x:v>https://wiki.biligame.com/sr/%E7%8B%BC%E7%8B%A9%E6%98%9F%E5%BE%BD</x:v>
      </x:c>
      <x:c r="V127" s="35" t="n">
        <x:v>99085</x:v>
      </x:c>
      <x:c r="W127" s="35" t="n">
        <x:v>200</x:v>
      </x:c>
      <x:c r="X127" s="35" t="str">
        <x:v>9f2a9834bcd8371c975a437b2b5cf1152563aad16093868017f4f7f19489e37c</x:v>
      </x:c>
      <x:c r="Y127" s="36" t="b">
        <x:v>1</x:v>
      </x:c>
      <x:c r="Z127" s="36" t="b">
        <x:v>1</x:v>
      </x:c>
      <x:c r="AA127" s="35" t="str">
        <x:v>HTTP 200 反爬占位页</x:v>
      </x:c>
      <x:c r="AB127" s="35" t="str"/>
      <x:c r="AC127" s="35" t="str">
        <x:v>equipment-contact-07.png</x:v>
      </x:c>
      <x:c r="AD127" s="35" t="str">
        <x:v>第2行第1列</x:v>
      </x:c>
      <x:c r="AE127" s="35" t="str">
        <x:v>逐项可见；未见空白、破损、异常裁切或相邻错位</x:v>
      </x:c>
      <x:c r="AF127" s="35" t="str">
        <x:v>本地哈希唯一；未发现图标与名称错位</x:v>
      </x:c>
      <x:c r="AG127" s="35" t="str">
        <x:v>BWIKI oldid=99085+PatchWiki；米游社官方资料仅提供玩法或少量条目补充</x:v>
      </x:c>
      <x:c r="AH127" s="35" t="str">
        <x:v>单条详情页本轮受限流/反爬影响，未获得独立页面实证</x:v>
      </x:c>
      <x:c r="AI127" s="38" t="str">
        <x:f>IF(OR(K127&lt;&gt;L127,M127&lt;&gt;TRUE,Y127&lt;&gt;TRUE,Z127&lt;&gt;TRUE),"冲突",IF(OR(D127="？",D127="？？？"),"分类冲突待确认",IF(N127&gt;1,"图标一致；具体ID不唯一","图标/名称/来源无已发现冲突")))</x:f>
        <x:v>图标/名称/来源无已发现冲突</x:v>
      </x:c>
    </x:row>
    <x:row r="128" ht="38" customHeight="1">
      <x:c r="A128" s="35" t="n">
        <x:v>127</x:v>
      </x:c>
      <x:c r="B128" s="35" t="str">
        <x:v>currency_wars_equipment_129</x:v>
      </x:c>
      <x:c r="C128" s="35" t="str">
        <x:v>盛会之星星徽</x:v>
      </x:c>
      <x:c r="D128" s="35" t="str">
        <x:v>阵营星徽</x:v>
      </x:c>
      <x:c r="E128" s="35" t="str">
        <x:v>faction_emblem</x:v>
      </x:c>
      <x:c r="F128" s="35" t="str">
        <x:v>是</x:v>
      </x:c>
      <x:c r="G128" s="35" t="str">
        <x:v>是</x:v>
      </x:c>
      <x:c r="H128" s="35" t="str"/>
      <x:c r="I128" s="35" t="str">
        <x:v>currency_wars_equipment_084；currency_wars_equipment_043</x:v>
      </x:c>
      <x:c r="J128" s="35" t="str">
        <x:v>assets/currency_wars_equipment_icons/currency_wars_equipment_129.png</x:v>
      </x:c>
      <x:c r="K128" s="35" t="str">
        <x:v>710a48b9c446d50c60fc386e373a1c3cf25fdf4ee5e547c2f4fb31369d7b81d3</x:v>
      </x:c>
      <x:c r="L128" s="35" t="str">
        <x:v>710a48b9c446d50c60fc386e373a1c3cf25fdf4ee5e547c2f4fb31369d7b81d3</x:v>
      </x:c>
      <x:c r="M128" s="36" t="b">
        <x:v>1</x:v>
      </x:c>
      <x:c r="N128" s="35" t="n">
        <x:f>COUNTIF($L$2:$L$158,L128)</x:f>
        <x:v>1</x:v>
      </x:c>
      <x:c r="O128" s="35" t="str">
        <x:v>129</x:v>
      </x:c>
      <x:c r="P128" s="35" t="str">
        <x:v>盛会之星星徽</x:v>
      </x:c>
      <x:c r="Q128" s="35" t="n">
        <x:v>27034</x:v>
      </x:c>
      <x:c r="R128" s="35" t="n">
        <x:v>128</x:v>
      </x:c>
      <x:c r="S128" s="35" t="n">
        <x:v>128</x:v>
      </x:c>
      <x:c r="T128" s="35" t="str">
        <x:v>https://patchwiki.biligame.com/images/sr/b/b0/t3fdqap7fwrxkd042pgcojbmikgceoc.png</x:v>
      </x:c>
      <x:c r="U128" s="35" t="str">
        <x:v>https://wiki.biligame.com/sr/%E7%9B%9B%E4%BC%9A%E4%B9%8B%E6%98%9F%E6%98%9F%E5%BE%BD</x:v>
      </x:c>
      <x:c r="V128" s="35" t="n">
        <x:v>99085</x:v>
      </x:c>
      <x:c r="W128" s="35" t="n">
        <x:v>200</x:v>
      </x:c>
      <x:c r="X128" s="35" t="str">
        <x:v>710a48b9c446d50c60fc386e373a1c3cf25fdf4ee5e547c2f4fb31369d7b81d3</x:v>
      </x:c>
      <x:c r="Y128" s="36" t="b">
        <x:v>1</x:v>
      </x:c>
      <x:c r="Z128" s="36" t="b">
        <x:v>1</x:v>
      </x:c>
      <x:c r="AA128" s="35" t="str">
        <x:v>HTTP 200 反爬占位页</x:v>
      </x:c>
      <x:c r="AB128" s="35" t="str"/>
      <x:c r="AC128" s="35" t="str">
        <x:v>equipment-contact-07.png</x:v>
      </x:c>
      <x:c r="AD128" s="35" t="str">
        <x:v>第2行第2列</x:v>
      </x:c>
      <x:c r="AE128" s="35" t="str">
        <x:v>逐项可见；未见空白、破损、异常裁切或相邻错位</x:v>
      </x:c>
      <x:c r="AF128" s="35" t="str">
        <x:v>本地哈希唯一；未发现图标与名称错位</x:v>
      </x:c>
      <x:c r="AG128" s="35" t="str">
        <x:v>BWIKI oldid=99085+PatchWiki；米游社官方资料仅提供玩法或少量条目补充</x:v>
      </x:c>
      <x:c r="AH128" s="35" t="str">
        <x:v>单条详情页本轮受限流/反爬影响，未获得独立页面实证</x:v>
      </x:c>
      <x:c r="AI128" s="38" t="str">
        <x:f>IF(OR(K128&lt;&gt;L128,M128&lt;&gt;TRUE,Y128&lt;&gt;TRUE,Z128&lt;&gt;TRUE),"冲突",IF(OR(D128="？",D128="？？？"),"分类冲突待确认",IF(N128&gt;1,"图标一致；具体ID不唯一","图标/名称/来源无已发现冲突")))</x:f>
        <x:v>图标/名称/来源无已发现冲突</x:v>
      </x:c>
    </x:row>
    <x:row r="129" ht="38" customHeight="1">
      <x:c r="A129" s="35" t="n">
        <x:v>128</x:v>
      </x:c>
      <x:c r="B129" s="35" t="str">
        <x:v>currency_wars_equipment_130</x:v>
      </x:c>
      <x:c r="C129" s="35" t="str">
        <x:v>贝洛伯格星徽</x:v>
      </x:c>
      <x:c r="D129" s="35" t="str">
        <x:v>阵营星徽</x:v>
      </x:c>
      <x:c r="E129" s="35" t="str">
        <x:v>faction_emblem</x:v>
      </x:c>
      <x:c r="F129" s="35" t="str">
        <x:v>是</x:v>
      </x:c>
      <x:c r="G129" s="35" t="str">
        <x:v>是</x:v>
      </x:c>
      <x:c r="H129" s="35" t="str"/>
      <x:c r="I129" s="35" t="str">
        <x:v>currency_wars_equipment_084；currency_wars_equipment_047</x:v>
      </x:c>
      <x:c r="J129" s="35" t="str">
        <x:v>assets/currency_wars_equipment_icons/currency_wars_equipment_130.png</x:v>
      </x:c>
      <x:c r="K129" s="35" t="str">
        <x:v>81b1786cfd6e9b9e549d6a6b7323dc02e6d40a3b3ca7a85315d3faaeb5e029b7</x:v>
      </x:c>
      <x:c r="L129" s="35" t="str">
        <x:v>81b1786cfd6e9b9e549d6a6b7323dc02e6d40a3b3ca7a85315d3faaeb5e029b7</x:v>
      </x:c>
      <x:c r="M129" s="36" t="b">
        <x:v>1</x:v>
      </x:c>
      <x:c r="N129" s="35" t="n">
        <x:f>COUNTIF($L$2:$L$158,L129)</x:f>
        <x:v>1</x:v>
      </x:c>
      <x:c r="O129" s="35" t="str">
        <x:v>130</x:v>
      </x:c>
      <x:c r="P129" s="35" t="str">
        <x:v>贝洛伯格星徽</x:v>
      </x:c>
      <x:c r="Q129" s="35" t="n">
        <x:v>25578</x:v>
      </x:c>
      <x:c r="R129" s="35" t="n">
        <x:v>128</x:v>
      </x:c>
      <x:c r="S129" s="35" t="n">
        <x:v>128</x:v>
      </x:c>
      <x:c r="T129" s="35" t="str">
        <x:v>https://patchwiki.biligame.com/images/sr/f/fc/r6llwnn97af90pwv0p2yt7s7k58lycy.png</x:v>
      </x:c>
      <x:c r="U129" s="35" t="str">
        <x:v>https://wiki.biligame.com/sr/%E8%B4%9D%E6%B4%9B%E4%BC%AF%E6%A0%BC%E6%98%9F%E5%BE%BD</x:v>
      </x:c>
      <x:c r="V129" s="35" t="n">
        <x:v>99085</x:v>
      </x:c>
      <x:c r="W129" s="35" t="n">
        <x:v>200</x:v>
      </x:c>
      <x:c r="X129" s="35" t="str">
        <x:v>81b1786cfd6e9b9e549d6a6b7323dc02e6d40a3b3ca7a85315d3faaeb5e029b7</x:v>
      </x:c>
      <x:c r="Y129" s="36" t="b">
        <x:v>1</x:v>
      </x:c>
      <x:c r="Z129" s="36" t="b">
        <x:v>1</x:v>
      </x:c>
      <x:c r="AA129" s="35" t="str">
        <x:v>HTTP 200 反爬占位页</x:v>
      </x:c>
      <x:c r="AB129" s="35" t="str"/>
      <x:c r="AC129" s="35" t="str">
        <x:v>equipment-contact-07.png</x:v>
      </x:c>
      <x:c r="AD129" s="35" t="str">
        <x:v>第2行第3列</x:v>
      </x:c>
      <x:c r="AE129" s="35" t="str">
        <x:v>逐项可见；未见空白、破损、异常裁切或相邻错位</x:v>
      </x:c>
      <x:c r="AF129" s="35" t="str">
        <x:v>本地哈希唯一；未发现图标与名称错位</x:v>
      </x:c>
      <x:c r="AG129" s="35" t="str">
        <x:v>BWIKI oldid=99085+PatchWiki；米游社官方资料仅提供玩法或少量条目补充</x:v>
      </x:c>
      <x:c r="AH129" s="35" t="str">
        <x:v>单条详情页本轮受限流/反爬影响，未获得独立页面实证</x:v>
      </x:c>
      <x:c r="AI129" s="38" t="str">
        <x:f>IF(OR(K129&lt;&gt;L129,M129&lt;&gt;TRUE,Y129&lt;&gt;TRUE,Z129&lt;&gt;TRUE),"冲突",IF(OR(D129="？",D129="？？？"),"分类冲突待确认",IF(N129&gt;1,"图标一致；具体ID不唯一","图标/名称/来源无已发现冲突")))</x:f>
        <x:v>图标/名称/来源无已发现冲突</x:v>
      </x:c>
    </x:row>
    <x:row r="130" ht="38" customHeight="1">
      <x:c r="A130" s="35" t="n">
        <x:v>129</x:v>
      </x:c>
      <x:c r="B130" s="35" t="str">
        <x:v>currency_wars_equipment_131</x:v>
      </x:c>
      <x:c r="C130" s="35" t="str">
        <x:v>银河学者星徽</x:v>
      </x:c>
      <x:c r="D130" s="35" t="str">
        <x:v>阵营星徽</x:v>
      </x:c>
      <x:c r="E130" s="35" t="str">
        <x:v>faction_emblem</x:v>
      </x:c>
      <x:c r="F130" s="35" t="str">
        <x:v>是</x:v>
      </x:c>
      <x:c r="G130" s="35" t="str">
        <x:v>是</x:v>
      </x:c>
      <x:c r="H130" s="35" t="str"/>
      <x:c r="I130" s="35" t="str">
        <x:v>currency_wars_equipment_084；currency_wars_equipment_041</x:v>
      </x:c>
      <x:c r="J130" s="35" t="str">
        <x:v>assets/currency_wars_equipment_icons/currency_wars_equipment_131.png</x:v>
      </x:c>
      <x:c r="K130" s="35" t="str">
        <x:v>7dae9e939ac94f2c746eca6de9bd3728fbe82ff62eb553d39216af4088141975</x:v>
      </x:c>
      <x:c r="L130" s="35" t="str">
        <x:v>7dae9e939ac94f2c746eca6de9bd3728fbe82ff62eb553d39216af4088141975</x:v>
      </x:c>
      <x:c r="M130" s="36" t="b">
        <x:v>1</x:v>
      </x:c>
      <x:c r="N130" s="35" t="n">
        <x:f>COUNTIF($L$2:$L$158,L130)</x:f>
        <x:v>1</x:v>
      </x:c>
      <x:c r="O130" s="35" t="str">
        <x:v>131</x:v>
      </x:c>
      <x:c r="P130" s="35" t="str">
        <x:v>银河学者星徽</x:v>
      </x:c>
      <x:c r="Q130" s="35" t="n">
        <x:v>25394</x:v>
      </x:c>
      <x:c r="R130" s="35" t="n">
        <x:v>128</x:v>
      </x:c>
      <x:c r="S130" s="35" t="n">
        <x:v>128</x:v>
      </x:c>
      <x:c r="T130" s="35" t="str">
        <x:v>https://patchwiki.biligame.com/images/sr/b/bb/tb3yzne2ury2gfe2jqy9x9cnnbwat63.png</x:v>
      </x:c>
      <x:c r="U130" s="35" t="str">
        <x:v>https://wiki.biligame.com/sr/%E9%93%B6%E6%B2%B3%E5%AD%A6%E8%80%85%E6%98%9F%E5%BE%BD</x:v>
      </x:c>
      <x:c r="V130" s="35" t="n">
        <x:v>99085</x:v>
      </x:c>
      <x:c r="W130" s="35" t="n">
        <x:v>200</x:v>
      </x:c>
      <x:c r="X130" s="35" t="str">
        <x:v>7dae9e939ac94f2c746eca6de9bd3728fbe82ff62eb553d39216af4088141975</x:v>
      </x:c>
      <x:c r="Y130" s="36" t="b">
        <x:v>1</x:v>
      </x:c>
      <x:c r="Z130" s="36" t="b">
        <x:v>1</x:v>
      </x:c>
      <x:c r="AA130" s="35" t="str">
        <x:v>HTTP 200 反爬占位页</x:v>
      </x:c>
      <x:c r="AB130" s="35" t="str"/>
      <x:c r="AC130" s="35" t="str">
        <x:v>equipment-contact-07.png</x:v>
      </x:c>
      <x:c r="AD130" s="35" t="str">
        <x:v>第2行第4列</x:v>
      </x:c>
      <x:c r="AE130" s="35" t="str">
        <x:v>逐项可见；未见空白、破损、异常裁切或相邻错位</x:v>
      </x:c>
      <x:c r="AF130" s="35" t="str">
        <x:v>本地哈希唯一；未发现图标与名称错位</x:v>
      </x:c>
      <x:c r="AG130" s="35" t="str">
        <x:v>BWIKI oldid=99085+PatchWiki；米游社官方资料仅提供玩法或少量条目补充</x:v>
      </x:c>
      <x:c r="AH130" s="35" t="str">
        <x:v>单条详情页本轮受限流/反爬影响，未获得独立页面实证</x:v>
      </x:c>
      <x:c r="AI130" s="38" t="str">
        <x:f>IF(OR(K130&lt;&gt;L130,M130&lt;&gt;TRUE,Y130&lt;&gt;TRUE,Z130&lt;&gt;TRUE),"冲突",IF(OR(D130="？",D130="？？？"),"分类冲突待确认",IF(N130&gt;1,"图标一致；具体ID不唯一","图标/名称/来源无已发现冲突")))</x:f>
        <x:v>图标/名称/来源无已发现冲突</x:v>
      </x:c>
    </x:row>
    <x:row r="131" ht="38" customHeight="1">
      <x:c r="A131" s="35" t="n">
        <x:v>130</x:v>
      </x:c>
      <x:c r="B131" s="35" t="str">
        <x:v>currency_wars_equipment_132</x:v>
      </x:c>
      <x:c r="C131" s="35" t="str">
        <x:v>减益星徽</x:v>
      </x:c>
      <x:c r="D131" s="35" t="str">
        <x:v>流派星徽</x:v>
      </x:c>
      <x:c r="E131" s="35" t="str">
        <x:v>style_emblem</x:v>
      </x:c>
      <x:c r="F131" s="35" t="str">
        <x:v>是</x:v>
      </x:c>
      <x:c r="G131" s="35" t="str">
        <x:v>是</x:v>
      </x:c>
      <x:c r="H131" s="35" t="str"/>
      <x:c r="I131" s="35" t="str">
        <x:v>currency_wars_equipment_042；currency_wars_equipment_085</x:v>
      </x:c>
      <x:c r="J131" s="35" t="str">
        <x:v>assets/currency_wars_equipment_icons/currency_wars_equipment_132.png</x:v>
      </x:c>
      <x:c r="K131" s="35" t="str">
        <x:v>585a2587813f1f4bfd773e2130ed0ca0b8de2f02290f404ad95bbbe11e929b10</x:v>
      </x:c>
      <x:c r="L131" s="35" t="str">
        <x:v>585a2587813f1f4bfd773e2130ed0ca0b8de2f02290f404ad95bbbe11e929b10</x:v>
      </x:c>
      <x:c r="M131" s="36" t="b">
        <x:v>1</x:v>
      </x:c>
      <x:c r="N131" s="35" t="n">
        <x:f>COUNTIF($L$2:$L$158,L131)</x:f>
        <x:v>1</x:v>
      </x:c>
      <x:c r="O131" s="35" t="str">
        <x:v>132</x:v>
      </x:c>
      <x:c r="P131" s="35" t="str">
        <x:v>减益星徽</x:v>
      </x:c>
      <x:c r="Q131" s="35" t="n">
        <x:v>27178</x:v>
      </x:c>
      <x:c r="R131" s="35" t="n">
        <x:v>128</x:v>
      </x:c>
      <x:c r="S131" s="35" t="n">
        <x:v>128</x:v>
      </x:c>
      <x:c r="T131" s="35" t="str">
        <x:v>https://patchwiki.biligame.com/images/sr/3/31/oyb57y9ny4vkniy0725jayleew3t3u8.png</x:v>
      </x:c>
      <x:c r="U131" s="35" t="str">
        <x:v>https://wiki.biligame.com/sr/%E5%87%8F%E7%9B%8A%E6%98%9F%E5%BE%BD</x:v>
      </x:c>
      <x:c r="V131" s="35" t="n">
        <x:v>99085</x:v>
      </x:c>
      <x:c r="W131" s="35" t="n">
        <x:v>200</x:v>
      </x:c>
      <x:c r="X131" s="35" t="str">
        <x:v>585a2587813f1f4bfd773e2130ed0ca0b8de2f02290f404ad95bbbe11e929b10</x:v>
      </x:c>
      <x:c r="Y131" s="36" t="b">
        <x:v>1</x:v>
      </x:c>
      <x:c r="Z131" s="36" t="b">
        <x:v>1</x:v>
      </x:c>
      <x:c r="AA131" s="35" t="str">
        <x:v>HTTP 200 反爬占位页</x:v>
      </x:c>
      <x:c r="AB131" s="35" t="str"/>
      <x:c r="AC131" s="35" t="str">
        <x:v>equipment-contact-07.png</x:v>
      </x:c>
      <x:c r="AD131" s="35" t="str">
        <x:v>第2行第5列</x:v>
      </x:c>
      <x:c r="AE131" s="35" t="str">
        <x:v>逐项可见；未见空白、破损、异常裁切或相邻错位</x:v>
      </x:c>
      <x:c r="AF131" s="35" t="str">
        <x:v>本地哈希唯一；未发现图标与名称错位</x:v>
      </x:c>
      <x:c r="AG131" s="35" t="str">
        <x:v>BWIKI oldid=99085+PatchWiki；米游社官方资料仅提供玩法或少量条目补充</x:v>
      </x:c>
      <x:c r="AH131" s="35" t="str">
        <x:v>单条详情页本轮受限流/反爬影响，未获得独立页面实证</x:v>
      </x:c>
      <x:c r="AI131" s="38" t="str">
        <x:f>IF(OR(K131&lt;&gt;L131,M131&lt;&gt;TRUE,Y131&lt;&gt;TRUE,Z131&lt;&gt;TRUE),"冲突",IF(OR(D131="？",D131="？？？"),"分类冲突待确认",IF(N131&gt;1,"图标一致；具体ID不唯一","图标/名称/来源无已发现冲突")))</x:f>
        <x:v>图标/名称/来源无已发现冲突</x:v>
      </x:c>
    </x:row>
    <x:row r="132" ht="38" customHeight="1">
      <x:c r="A132" s="35" t="n">
        <x:v>131</x:v>
      </x:c>
      <x:c r="B132" s="35" t="str">
        <x:v>currency_wars_equipment_133</x:v>
      </x:c>
      <x:c r="C132" s="35" t="str">
        <x:v>击破星徽</x:v>
      </x:c>
      <x:c r="D132" s="35" t="str">
        <x:v>流派星徽</x:v>
      </x:c>
      <x:c r="E132" s="35" t="str">
        <x:v>style_emblem</x:v>
      </x:c>
      <x:c r="F132" s="35" t="str">
        <x:v>是</x:v>
      </x:c>
      <x:c r="G132" s="35" t="str">
        <x:v>是</x:v>
      </x:c>
      <x:c r="H132" s="35" t="str"/>
      <x:c r="I132" s="35" t="str">
        <x:v>currency_wars_equipment_040；currency_wars_equipment_085</x:v>
      </x:c>
      <x:c r="J132" s="35" t="str">
        <x:v>assets/currency_wars_equipment_icons/currency_wars_equipment_133.png</x:v>
      </x:c>
      <x:c r="K132" s="35" t="str">
        <x:v>870f1be4b0c3e3e61e4e5b81f1664a50b5a6198641651097ea723bfa39e74415</x:v>
      </x:c>
      <x:c r="L132" s="35" t="str">
        <x:v>870f1be4b0c3e3e61e4e5b81f1664a50b5a6198641651097ea723bfa39e74415</x:v>
      </x:c>
      <x:c r="M132" s="36" t="b">
        <x:v>1</x:v>
      </x:c>
      <x:c r="N132" s="35" t="n">
        <x:f>COUNTIF($L$2:$L$158,L132)</x:f>
        <x:v>1</x:v>
      </x:c>
      <x:c r="O132" s="35" t="str">
        <x:v>133</x:v>
      </x:c>
      <x:c r="P132" s="35" t="str">
        <x:v>击破星徽</x:v>
      </x:c>
      <x:c r="Q132" s="35" t="n">
        <x:v>25113</x:v>
      </x:c>
      <x:c r="R132" s="35" t="n">
        <x:v>128</x:v>
      </x:c>
      <x:c r="S132" s="35" t="n">
        <x:v>128</x:v>
      </x:c>
      <x:c r="T132" s="35" t="str">
        <x:v>https://patchwiki.biligame.com/images/sr/4/4f/ptsnpbtwlf73l26d4op71l8qtw3ofd2.png</x:v>
      </x:c>
      <x:c r="U132" s="35" t="str">
        <x:v>https://wiki.biligame.com/sr/%E5%87%BB%E7%A0%B4%E6%98%9F%E5%BE%BD</x:v>
      </x:c>
      <x:c r="V132" s="35" t="n">
        <x:v>99085</x:v>
      </x:c>
      <x:c r="W132" s="35" t="n">
        <x:v>200</x:v>
      </x:c>
      <x:c r="X132" s="35" t="str">
        <x:v>870f1be4b0c3e3e61e4e5b81f1664a50b5a6198641651097ea723bfa39e74415</x:v>
      </x:c>
      <x:c r="Y132" s="36" t="b">
        <x:v>1</x:v>
      </x:c>
      <x:c r="Z132" s="36" t="b">
        <x:v>1</x:v>
      </x:c>
      <x:c r="AA132" s="35" t="str">
        <x:v>HTTP 200 反爬占位页</x:v>
      </x:c>
      <x:c r="AB132" s="35" t="str"/>
      <x:c r="AC132" s="35" t="str">
        <x:v>equipment-contact-07.png</x:v>
      </x:c>
      <x:c r="AD132" s="35" t="str">
        <x:v>第3行第1列</x:v>
      </x:c>
      <x:c r="AE132" s="35" t="str">
        <x:v>逐项可见；未见空白、破损、异常裁切或相邻错位</x:v>
      </x:c>
      <x:c r="AF132" s="35" t="str">
        <x:v>本地哈希唯一；未发现图标与名称错位</x:v>
      </x:c>
      <x:c r="AG132" s="35" t="str">
        <x:v>BWIKI oldid=99085+PatchWiki；米游社官方资料仅提供玩法或少量条目补充</x:v>
      </x:c>
      <x:c r="AH132" s="35" t="str">
        <x:v>单条详情页本轮受限流/反爬影响，未获得独立页面实证</x:v>
      </x:c>
      <x:c r="AI132" s="38" t="str">
        <x:f>IF(OR(K132&lt;&gt;L132,M132&lt;&gt;TRUE,Y132&lt;&gt;TRUE,Z132&lt;&gt;TRUE),"冲突",IF(OR(D132="？",D132="？？？"),"分类冲突待确认",IF(N132&gt;1,"图标一致；具体ID不唯一","图标/名称/来源无已发现冲突")))</x:f>
        <x:v>图标/名称/来源无已发现冲突</x:v>
      </x:c>
    </x:row>
    <x:row r="133" ht="38" customHeight="1">
      <x:c r="A133" s="35" t="n">
        <x:v>132</x:v>
      </x:c>
      <x:c r="B133" s="35" t="str">
        <x:v>currency_wars_equipment_134</x:v>
      </x:c>
      <x:c r="C133" s="35" t="str">
        <x:v>战技点星徽</x:v>
      </x:c>
      <x:c r="D133" s="35" t="str">
        <x:v>流派星徽</x:v>
      </x:c>
      <x:c r="E133" s="35" t="str">
        <x:v>style_emblem</x:v>
      </x:c>
      <x:c r="F133" s="35" t="str">
        <x:v>是</x:v>
      </x:c>
      <x:c r="G133" s="35" t="str">
        <x:v>是</x:v>
      </x:c>
      <x:c r="H133" s="35" t="str"/>
      <x:c r="I133" s="35" t="str">
        <x:v>currency_wars_equipment_044；currency_wars_equipment_085</x:v>
      </x:c>
      <x:c r="J133" s="35" t="str">
        <x:v>assets/currency_wars_equipment_icons/currency_wars_equipment_134.png</x:v>
      </x:c>
      <x:c r="K133" s="35" t="str">
        <x:v>8af9217d459ceb46087dd63761c0fd1bb201b2efb4f7c258c58ab2a8a1fc5428</x:v>
      </x:c>
      <x:c r="L133" s="35" t="str">
        <x:v>8af9217d459ceb46087dd63761c0fd1bb201b2efb4f7c258c58ab2a8a1fc5428</x:v>
      </x:c>
      <x:c r="M133" s="36" t="b">
        <x:v>1</x:v>
      </x:c>
      <x:c r="N133" s="35" t="n">
        <x:f>COUNTIF($L$2:$L$158,L133)</x:f>
        <x:v>1</x:v>
      </x:c>
      <x:c r="O133" s="35" t="str">
        <x:v>134</x:v>
      </x:c>
      <x:c r="P133" s="35" t="str">
        <x:v>战技点星徽</x:v>
      </x:c>
      <x:c r="Q133" s="35" t="n">
        <x:v>26933</x:v>
      </x:c>
      <x:c r="R133" s="35" t="n">
        <x:v>128</x:v>
      </x:c>
      <x:c r="S133" s="35" t="n">
        <x:v>128</x:v>
      </x:c>
      <x:c r="T133" s="35" t="str">
        <x:v>https://patchwiki.biligame.com/images/sr/6/67/m80i6wskk8pvz90it9ump9xbhdydv8t.png</x:v>
      </x:c>
      <x:c r="U133" s="35" t="str">
        <x:v>https://wiki.biligame.com/sr/%E6%88%98%E6%8A%80%E7%82%B9%E6%98%9F%E5%BE%BD</x:v>
      </x:c>
      <x:c r="V133" s="35" t="n">
        <x:v>99085</x:v>
      </x:c>
      <x:c r="W133" s="35" t="n">
        <x:v>200</x:v>
      </x:c>
      <x:c r="X133" s="35" t="str">
        <x:v>8af9217d459ceb46087dd63761c0fd1bb201b2efb4f7c258c58ab2a8a1fc5428</x:v>
      </x:c>
      <x:c r="Y133" s="36" t="b">
        <x:v>1</x:v>
      </x:c>
      <x:c r="Z133" s="36" t="b">
        <x:v>1</x:v>
      </x:c>
      <x:c r="AA133" s="35" t="str">
        <x:v>HTTP 200 反爬占位页</x:v>
      </x:c>
      <x:c r="AB133" s="35" t="str"/>
      <x:c r="AC133" s="35" t="str">
        <x:v>equipment-contact-07.png</x:v>
      </x:c>
      <x:c r="AD133" s="35" t="str">
        <x:v>第3行第2列</x:v>
      </x:c>
      <x:c r="AE133" s="35" t="str">
        <x:v>逐项可见；未见空白、破损、异常裁切或相邻错位</x:v>
      </x:c>
      <x:c r="AF133" s="35" t="str">
        <x:v>本地哈希唯一；未发现图标与名称错位</x:v>
      </x:c>
      <x:c r="AG133" s="35" t="str">
        <x:v>BWIKI oldid=99085+PatchWiki；米游社官方资料仅提供玩法或少量条目补充</x:v>
      </x:c>
      <x:c r="AH133" s="35" t="str">
        <x:v>单条详情页本轮受限流/反爬影响，未获得独立页面实证</x:v>
      </x:c>
      <x:c r="AI133" s="38" t="str">
        <x:f>IF(OR(K133&lt;&gt;L133,M133&lt;&gt;TRUE,Y133&lt;&gt;TRUE,Z133&lt;&gt;TRUE),"冲突",IF(OR(D133="？",D133="？？？"),"分类冲突待确认",IF(N133&gt;1,"图标一致；具体ID不唯一","图标/名称/来源无已发现冲突")))</x:f>
        <x:v>图标/名称/来源无已发现冲突</x:v>
      </x:c>
    </x:row>
    <x:row r="134" ht="38" customHeight="1">
      <x:c r="A134" s="35" t="n">
        <x:v>133</x:v>
      </x:c>
      <x:c r="B134" s="35" t="str">
        <x:v>currency_wars_equipment_135</x:v>
      </x:c>
      <x:c r="C134" s="35" t="str">
        <x:v>护盾星徽</x:v>
      </x:c>
      <x:c r="D134" s="35" t="str">
        <x:v>流派星徽</x:v>
      </x:c>
      <x:c r="E134" s="35" t="str">
        <x:v>style_emblem</x:v>
      </x:c>
      <x:c r="F134" s="35" t="str">
        <x:v>是</x:v>
      </x:c>
      <x:c r="G134" s="35" t="str">
        <x:v>是</x:v>
      </x:c>
      <x:c r="H134" s="35" t="str"/>
      <x:c r="I134" s="35" t="str"/>
      <x:c r="J134" s="35" t="str">
        <x:v>assets/currency_wars_equipment_icons/currency_wars_equipment_135.png</x:v>
      </x:c>
      <x:c r="K134" s="35" t="str">
        <x:v>bc44eee255bb1d4f622ffb9bbe1da30f5b6b594ddf60c3a72e885736878c24d8</x:v>
      </x:c>
      <x:c r="L134" s="35" t="str">
        <x:v>bc44eee255bb1d4f622ffb9bbe1da30f5b6b594ddf60c3a72e885736878c24d8</x:v>
      </x:c>
      <x:c r="M134" s="36" t="b">
        <x:v>1</x:v>
      </x:c>
      <x:c r="N134" s="35" t="n">
        <x:f>COUNTIF($L$2:$L$158,L134)</x:f>
        <x:v>1</x:v>
      </x:c>
      <x:c r="O134" s="35" t="str">
        <x:v>135</x:v>
      </x:c>
      <x:c r="P134" s="35" t="str">
        <x:v>护盾星徽</x:v>
      </x:c>
      <x:c r="Q134" s="35" t="n">
        <x:v>24888</x:v>
      </x:c>
      <x:c r="R134" s="35" t="n">
        <x:v>128</x:v>
      </x:c>
      <x:c r="S134" s="35" t="n">
        <x:v>128</x:v>
      </x:c>
      <x:c r="T134" s="35" t="str">
        <x:v>https://patchwiki.biligame.com/images/sr/3/37/mao35lg1cseoabbpvbv7l6i2x42c1d1.png</x:v>
      </x:c>
      <x:c r="U134" s="35" t="str">
        <x:v>https://wiki.biligame.com/sr/%E6%8A%A4%E7%9B%BE%E6%98%9F%E5%BE%BD</x:v>
      </x:c>
      <x:c r="V134" s="35" t="n">
        <x:v>99085</x:v>
      </x:c>
      <x:c r="W134" s="35" t="n">
        <x:v>200</x:v>
      </x:c>
      <x:c r="X134" s="35" t="str">
        <x:v>bc44eee255bb1d4f622ffb9bbe1da30f5b6b594ddf60c3a72e885736878c24d8</x:v>
      </x:c>
      <x:c r="Y134" s="36" t="b">
        <x:v>1</x:v>
      </x:c>
      <x:c r="Z134" s="36" t="b">
        <x:v>1</x:v>
      </x:c>
      <x:c r="AA134" s="35" t="str">
        <x:v>HTTP 200 反爬占位页</x:v>
      </x:c>
      <x:c r="AB134" s="35" t="str"/>
      <x:c r="AC134" s="35" t="str">
        <x:v>equipment-contact-07.png</x:v>
      </x:c>
      <x:c r="AD134" s="35" t="str">
        <x:v>第3行第3列</x:v>
      </x:c>
      <x:c r="AE134" s="35" t="str">
        <x:v>逐项可见；未见空白、破损、异常裁切或相邻错位</x:v>
      </x:c>
      <x:c r="AF134" s="35" t="str">
        <x:v>本地哈希唯一；未发现图标与名称错位</x:v>
      </x:c>
      <x:c r="AG134" s="35" t="str">
        <x:v>BWIKI oldid=99085+PatchWiki；米游社官方资料仅提供玩法或少量条目补充</x:v>
      </x:c>
      <x:c r="AH134" s="35" t="str">
        <x:v>单条详情页本轮受限流/反爬影响，未获得独立页面实证</x:v>
      </x:c>
      <x:c r="AI134" s="38" t="str">
        <x:f>IF(OR(K134&lt;&gt;L134,M134&lt;&gt;TRUE,Y134&lt;&gt;TRUE,Z134&lt;&gt;TRUE),"冲突",IF(OR(D134="？",D134="？？？"),"分类冲突待确认",IF(N134&gt;1,"图标一致；具体ID不唯一","图标/名称/来源无已发现冲突")))</x:f>
        <x:v>图标/名称/来源无已发现冲突</x:v>
      </x:c>
    </x:row>
    <x:row r="135" ht="38" customHeight="1">
      <x:c r="A135" s="35" t="n">
        <x:v>134</x:v>
      </x:c>
      <x:c r="B135" s="35" t="str">
        <x:v>currency_wars_equipment_136</x:v>
      </x:c>
      <x:c r="C135" s="35" t="str">
        <x:v>持续伤害星徽</x:v>
      </x:c>
      <x:c r="D135" s="35" t="str">
        <x:v>流派星徽</x:v>
      </x:c>
      <x:c r="E135" s="35" t="str">
        <x:v>style_emblem</x:v>
      </x:c>
      <x:c r="F135" s="35" t="str">
        <x:v>是</x:v>
      </x:c>
      <x:c r="G135" s="35" t="str">
        <x:v>是</x:v>
      </x:c>
      <x:c r="H135" s="35" t="str"/>
      <x:c r="I135" s="35" t="str">
        <x:v>currency_wars_equipment_047；currency_wars_equipment_085</x:v>
      </x:c>
      <x:c r="J135" s="35" t="str">
        <x:v>assets/currency_wars_equipment_icons/currency_wars_equipment_136.png</x:v>
      </x:c>
      <x:c r="K135" s="35" t="str">
        <x:v>725f266ea49995ee8f41806ec5cf20b7c3a0bc0ca8cd50d083022d166b3aa3cc</x:v>
      </x:c>
      <x:c r="L135" s="35" t="str">
        <x:v>725f266ea49995ee8f41806ec5cf20b7c3a0bc0ca8cd50d083022d166b3aa3cc</x:v>
      </x:c>
      <x:c r="M135" s="36" t="b">
        <x:v>1</x:v>
      </x:c>
      <x:c r="N135" s="35" t="n">
        <x:f>COUNTIF($L$2:$L$158,L135)</x:f>
        <x:v>1</x:v>
      </x:c>
      <x:c r="O135" s="35" t="str">
        <x:v>136</x:v>
      </x:c>
      <x:c r="P135" s="35" t="str">
        <x:v>持续伤害星徽</x:v>
      </x:c>
      <x:c r="Q135" s="35" t="n">
        <x:v>27559</x:v>
      </x:c>
      <x:c r="R135" s="35" t="n">
        <x:v>128</x:v>
      </x:c>
      <x:c r="S135" s="35" t="n">
        <x:v>128</x:v>
      </x:c>
      <x:c r="T135" s="35" t="str">
        <x:v>https://patchwiki.biligame.com/images/sr/a/ad/ivtu3g97uenx0kqgjtc4i10hw31wvv2.png</x:v>
      </x:c>
      <x:c r="U135" s="35" t="str">
        <x:v>https://wiki.biligame.com/sr/%E6%8C%81%E7%BB%AD%E4%BC%A4%E5%AE%B3%E6%98%9F%E5%BE%BD</x:v>
      </x:c>
      <x:c r="V135" s="35" t="n">
        <x:v>99085</x:v>
      </x:c>
      <x:c r="W135" s="35" t="n">
        <x:v>200</x:v>
      </x:c>
      <x:c r="X135" s="35" t="str">
        <x:v>725f266ea49995ee8f41806ec5cf20b7c3a0bc0ca8cd50d083022d166b3aa3cc</x:v>
      </x:c>
      <x:c r="Y135" s="36" t="b">
        <x:v>1</x:v>
      </x:c>
      <x:c r="Z135" s="36" t="b">
        <x:v>1</x:v>
      </x:c>
      <x:c r="AA135" s="35" t="str">
        <x:v>HTTP 200 反爬占位页</x:v>
      </x:c>
      <x:c r="AB135" s="35" t="str"/>
      <x:c r="AC135" s="35" t="str">
        <x:v>equipment-contact-07.png</x:v>
      </x:c>
      <x:c r="AD135" s="35" t="str">
        <x:v>第3行第4列</x:v>
      </x:c>
      <x:c r="AE135" s="35" t="str">
        <x:v>逐项可见；未见空白、破损、异常裁切或相邻错位</x:v>
      </x:c>
      <x:c r="AF135" s="35" t="str">
        <x:v>本地哈希唯一；未发现图标与名称错位</x:v>
      </x:c>
      <x:c r="AG135" s="35" t="str">
        <x:v>BWIKI oldid=99085+PatchWiki；米游社官方资料仅提供玩法或少量条目补充</x:v>
      </x:c>
      <x:c r="AH135" s="35" t="str">
        <x:v>单条详情页本轮受限流/反爬影响，未获得独立页面实证</x:v>
      </x:c>
      <x:c r="AI135" s="38" t="str">
        <x:f>IF(OR(K135&lt;&gt;L135,M135&lt;&gt;TRUE,Y135&lt;&gt;TRUE,Z135&lt;&gt;TRUE),"冲突",IF(OR(D135="？",D135="？？？"),"分类冲突待确认",IF(N135&gt;1,"图标一致；具体ID不唯一","图标/名称/来源无已发现冲突")))</x:f>
        <x:v>图标/名称/来源无已发现冲突</x:v>
      </x:c>
    </x:row>
    <x:row r="136" ht="38" customHeight="1">
      <x:c r="A136" s="35" t="n">
        <x:v>135</x:v>
      </x:c>
      <x:c r="B136" s="35" t="str">
        <x:v>currency_wars_equipment_137</x:v>
      </x:c>
      <x:c r="C136" s="35" t="str">
        <x:v>治疗星徽</x:v>
      </x:c>
      <x:c r="D136" s="35" t="str">
        <x:v>流派星徽</x:v>
      </x:c>
      <x:c r="E136" s="35" t="str">
        <x:v>style_emblem</x:v>
      </x:c>
      <x:c r="F136" s="35" t="str">
        <x:v>是</x:v>
      </x:c>
      <x:c r="G136" s="35" t="str">
        <x:v>是</x:v>
      </x:c>
      <x:c r="H136" s="35" t="str"/>
      <x:c r="I136" s="35" t="str"/>
      <x:c r="J136" s="35" t="str">
        <x:v>assets/currency_wars_equipment_icons/currency_wars_equipment_137.png</x:v>
      </x:c>
      <x:c r="K136" s="35" t="str">
        <x:v>9bbeb50daf0a95e2ce786c53f82303d2d40ad7bc3eefd9653f701867f922aacf</x:v>
      </x:c>
      <x:c r="L136" s="35" t="str">
        <x:v>9bbeb50daf0a95e2ce786c53f82303d2d40ad7bc3eefd9653f701867f922aacf</x:v>
      </x:c>
      <x:c r="M136" s="36" t="b">
        <x:v>1</x:v>
      </x:c>
      <x:c r="N136" s="35" t="n">
        <x:f>COUNTIF($L$2:$L$158,L136)</x:f>
        <x:v>1</x:v>
      </x:c>
      <x:c r="O136" s="35" t="str">
        <x:v>137</x:v>
      </x:c>
      <x:c r="P136" s="35" t="str">
        <x:v>治疗星徽</x:v>
      </x:c>
      <x:c r="Q136" s="35" t="n">
        <x:v>24766</x:v>
      </x:c>
      <x:c r="R136" s="35" t="n">
        <x:v>128</x:v>
      </x:c>
      <x:c r="S136" s="35" t="n">
        <x:v>128</x:v>
      </x:c>
      <x:c r="T136" s="35" t="str">
        <x:v>https://patchwiki.biligame.com/images/sr/1/14/ff8v3eqgtwxnw7if42twnvxijhyiuwd.png</x:v>
      </x:c>
      <x:c r="U136" s="35" t="str">
        <x:v>https://wiki.biligame.com/sr/%E6%B2%BB%E7%96%97%E6%98%9F%E5%BE%BD</x:v>
      </x:c>
      <x:c r="V136" s="35" t="n">
        <x:v>99085</x:v>
      </x:c>
      <x:c r="W136" s="35" t="n">
        <x:v>200</x:v>
      </x:c>
      <x:c r="X136" s="35" t="str">
        <x:v>9bbeb50daf0a95e2ce786c53f82303d2d40ad7bc3eefd9653f701867f922aacf</x:v>
      </x:c>
      <x:c r="Y136" s="36" t="b">
        <x:v>1</x:v>
      </x:c>
      <x:c r="Z136" s="36" t="b">
        <x:v>1</x:v>
      </x:c>
      <x:c r="AA136" s="35" t="str">
        <x:v>HTTP 200 反爬占位页</x:v>
      </x:c>
      <x:c r="AB136" s="35" t="str"/>
      <x:c r="AC136" s="35" t="str">
        <x:v>equipment-contact-07.png</x:v>
      </x:c>
      <x:c r="AD136" s="35" t="str">
        <x:v>第3行第5列</x:v>
      </x:c>
      <x:c r="AE136" s="35" t="str">
        <x:v>逐项可见；未见空白、破损、异常裁切或相邻错位</x:v>
      </x:c>
      <x:c r="AF136" s="35" t="str">
        <x:v>本地哈希唯一；未发现图标与名称错位</x:v>
      </x:c>
      <x:c r="AG136" s="35" t="str">
        <x:v>BWIKI oldid=99085+PatchWiki；米游社官方资料仅提供玩法或少量条目补充</x:v>
      </x:c>
      <x:c r="AH136" s="35" t="str">
        <x:v>单条详情页本轮受限流/反爬影响，未获得独立页面实证</x:v>
      </x:c>
      <x:c r="AI136" s="38" t="str">
        <x:f>IF(OR(K136&lt;&gt;L136,M136&lt;&gt;TRUE,Y136&lt;&gt;TRUE,Z136&lt;&gt;TRUE),"冲突",IF(OR(D136="？",D136="？？？"),"分类冲突待确认",IF(N136&gt;1,"图标一致；具体ID不唯一","图标/名称/来源无已发现冲突")))</x:f>
        <x:v>图标/名称/来源无已发现冲突</x:v>
      </x:c>
    </x:row>
    <x:row r="137" ht="38" customHeight="1">
      <x:c r="A137" s="35" t="n">
        <x:v>136</x:v>
      </x:c>
      <x:c r="B137" s="35" t="str">
        <x:v>currency_wars_equipment_138</x:v>
      </x:c>
      <x:c r="C137" s="35" t="str">
        <x:v>燃血星徽</x:v>
      </x:c>
      <x:c r="D137" s="35" t="str">
        <x:v>流派星徽</x:v>
      </x:c>
      <x:c r="E137" s="35" t="str">
        <x:v>style_emblem</x:v>
      </x:c>
      <x:c r="F137" s="35" t="str">
        <x:v>是</x:v>
      </x:c>
      <x:c r="G137" s="35" t="str">
        <x:v>是</x:v>
      </x:c>
      <x:c r="H137" s="35" t="str"/>
      <x:c r="I137" s="35" t="str">
        <x:v>currency_wars_equipment_045；currency_wars_equipment_085</x:v>
      </x:c>
      <x:c r="J137" s="35" t="str">
        <x:v>assets/currency_wars_equipment_icons/currency_wars_equipment_138.png</x:v>
      </x:c>
      <x:c r="K137" s="35" t="str">
        <x:v>8003530a04476b75315bda28e9874c06a97faef18906c0fe57e11954930445f5</x:v>
      </x:c>
      <x:c r="L137" s="35" t="str">
        <x:v>8003530a04476b75315bda28e9874c06a97faef18906c0fe57e11954930445f5</x:v>
      </x:c>
      <x:c r="M137" s="36" t="b">
        <x:v>1</x:v>
      </x:c>
      <x:c r="N137" s="35" t="n">
        <x:f>COUNTIF($L$2:$L$158,L137)</x:f>
        <x:v>1</x:v>
      </x:c>
      <x:c r="O137" s="35" t="str">
        <x:v>138</x:v>
      </x:c>
      <x:c r="P137" s="35" t="str">
        <x:v>燃血星徽</x:v>
      </x:c>
      <x:c r="Q137" s="35" t="n">
        <x:v>26359</x:v>
      </x:c>
      <x:c r="R137" s="35" t="n">
        <x:v>128</x:v>
      </x:c>
      <x:c r="S137" s="35" t="n">
        <x:v>128</x:v>
      </x:c>
      <x:c r="T137" s="35" t="str">
        <x:v>https://patchwiki.biligame.com/images/sr/5/5e/opcd5d3mm9ij4o4mpw9ciyb46c7ny25.png</x:v>
      </x:c>
      <x:c r="U137" s="35" t="str">
        <x:v>https://wiki.biligame.com/sr/%E7%87%83%E8%A1%80%E6%98%9F%E5%BE%BD</x:v>
      </x:c>
      <x:c r="V137" s="35" t="n">
        <x:v>99085</x:v>
      </x:c>
      <x:c r="W137" s="35" t="n">
        <x:v>200</x:v>
      </x:c>
      <x:c r="X137" s="35" t="str">
        <x:v>8003530a04476b75315bda28e9874c06a97faef18906c0fe57e11954930445f5</x:v>
      </x:c>
      <x:c r="Y137" s="36" t="b">
        <x:v>1</x:v>
      </x:c>
      <x:c r="Z137" s="36" t="b">
        <x:v>1</x:v>
      </x:c>
      <x:c r="AA137" s="35" t="str">
        <x:v>HTTP 200 反爬占位页</x:v>
      </x:c>
      <x:c r="AB137" s="35" t="str"/>
      <x:c r="AC137" s="35" t="str">
        <x:v>equipment-contact-07.png</x:v>
      </x:c>
      <x:c r="AD137" s="35" t="str">
        <x:v>第4行第1列</x:v>
      </x:c>
      <x:c r="AE137" s="35" t="str">
        <x:v>逐项可见；未见空白、破损、异常裁切或相邻错位</x:v>
      </x:c>
      <x:c r="AF137" s="35" t="str">
        <x:v>本地哈希唯一；未发现图标与名称错位</x:v>
      </x:c>
      <x:c r="AG137" s="35" t="str">
        <x:v>BWIKI oldid=99085+PatchWiki；米游社官方资料仅提供玩法或少量条目补充</x:v>
      </x:c>
      <x:c r="AH137" s="35" t="str">
        <x:v>单条详情页本轮受限流/反爬影响，未获得独立页面实证</x:v>
      </x:c>
      <x:c r="AI137" s="38" t="str">
        <x:f>IF(OR(K137&lt;&gt;L137,M137&lt;&gt;TRUE,Y137&lt;&gt;TRUE,Z137&lt;&gt;TRUE),"冲突",IF(OR(D137="？",D137="？？？"),"分类冲突待确认",IF(N137&gt;1,"图标一致；具体ID不唯一","图标/名称/来源无已发现冲突")))</x:f>
        <x:v>图标/名称/来源无已发现冲突</x:v>
      </x:c>
    </x:row>
    <x:row r="138" ht="38" customHeight="1">
      <x:c r="A138" s="35" t="n">
        <x:v>137</x:v>
      </x:c>
      <x:c r="B138" s="35" t="str">
        <x:v>currency_wars_equipment_139</x:v>
      </x:c>
      <x:c r="C138" s="35" t="str">
        <x:v>群攻星徽</x:v>
      </x:c>
      <x:c r="D138" s="35" t="str">
        <x:v>流派星徽</x:v>
      </x:c>
      <x:c r="E138" s="35" t="str">
        <x:v>style_emblem</x:v>
      </x:c>
      <x:c r="F138" s="35" t="str">
        <x:v>是</x:v>
      </x:c>
      <x:c r="G138" s="35" t="str">
        <x:v>是</x:v>
      </x:c>
      <x:c r="H138" s="35" t="str"/>
      <x:c r="I138" s="35" t="str">
        <x:v>currency_wars_equipment_043；currency_wars_equipment_085</x:v>
      </x:c>
      <x:c r="J138" s="35" t="str">
        <x:v>assets/currency_wars_equipment_icons/currency_wars_equipment_139.png</x:v>
      </x:c>
      <x:c r="K138" s="35" t="str">
        <x:v>97668b0024b2fe93b402593edc60fe012573248ccd6c6d0197abbd00317c7647</x:v>
      </x:c>
      <x:c r="L138" s="35" t="str">
        <x:v>97668b0024b2fe93b402593edc60fe012573248ccd6c6d0197abbd00317c7647</x:v>
      </x:c>
      <x:c r="M138" s="36" t="b">
        <x:v>1</x:v>
      </x:c>
      <x:c r="N138" s="35" t="n">
        <x:f>COUNTIF($L$2:$L$158,L138)</x:f>
        <x:v>1</x:v>
      </x:c>
      <x:c r="O138" s="35" t="str">
        <x:v>139</x:v>
      </x:c>
      <x:c r="P138" s="35" t="str">
        <x:v>群攻星徽</x:v>
      </x:c>
      <x:c r="Q138" s="35" t="n">
        <x:v>26370</x:v>
      </x:c>
      <x:c r="R138" s="35" t="n">
        <x:v>128</x:v>
      </x:c>
      <x:c r="S138" s="35" t="n">
        <x:v>128</x:v>
      </x:c>
      <x:c r="T138" s="35" t="str">
        <x:v>https://patchwiki.biligame.com/images/sr/e/e6/kt8zr4eug1g4fgqke749w70e0ocmwa6.png</x:v>
      </x:c>
      <x:c r="U138" s="35" t="str">
        <x:v>https://wiki.biligame.com/sr/%E7%BE%A4%E6%94%BB%E6%98%9F%E5%BE%BD</x:v>
      </x:c>
      <x:c r="V138" s="35" t="n">
        <x:v>99085</x:v>
      </x:c>
      <x:c r="W138" s="35" t="n">
        <x:v>200</x:v>
      </x:c>
      <x:c r="X138" s="35" t="str">
        <x:v>97668b0024b2fe93b402593edc60fe012573248ccd6c6d0197abbd00317c7647</x:v>
      </x:c>
      <x:c r="Y138" s="36" t="b">
        <x:v>1</x:v>
      </x:c>
      <x:c r="Z138" s="36" t="b">
        <x:v>1</x:v>
      </x:c>
      <x:c r="AA138" s="35" t="str">
        <x:v>HTTP 200 反爬占位页</x:v>
      </x:c>
      <x:c r="AB138" s="35" t="str"/>
      <x:c r="AC138" s="35" t="str">
        <x:v>equipment-contact-07.png</x:v>
      </x:c>
      <x:c r="AD138" s="35" t="str">
        <x:v>第4行第2列</x:v>
      </x:c>
      <x:c r="AE138" s="35" t="str">
        <x:v>逐项可见；未见空白、破损、异常裁切或相邻错位</x:v>
      </x:c>
      <x:c r="AF138" s="35" t="str">
        <x:v>本地哈希唯一；未发现图标与名称错位</x:v>
      </x:c>
      <x:c r="AG138" s="35" t="str">
        <x:v>BWIKI oldid=99085+PatchWiki；米游社官方资料仅提供玩法或少量条目补充</x:v>
      </x:c>
      <x:c r="AH138" s="35" t="str">
        <x:v>单条详情页本轮受限流/反爬影响，未获得独立页面实证</x:v>
      </x:c>
      <x:c r="AI138" s="38" t="str">
        <x:f>IF(OR(K138&lt;&gt;L138,M138&lt;&gt;TRUE,Y138&lt;&gt;TRUE,Z138&lt;&gt;TRUE),"冲突",IF(OR(D138="？",D138="？？？"),"分类冲突待确认",IF(N138&gt;1,"图标一致；具体ID不唯一","图标/名称/来源无已发现冲突")))</x:f>
        <x:v>图标/名称/来源无已发现冲突</x:v>
      </x:c>
    </x:row>
    <x:row r="139" ht="38" customHeight="1">
      <x:c r="A139" s="35" t="n">
        <x:v>138</x:v>
      </x:c>
      <x:c r="B139" s="35" t="str">
        <x:v>currency_wars_equipment_140</x:v>
      </x:c>
      <x:c r="C139" s="35" t="str">
        <x:v>能量星徽</x:v>
      </x:c>
      <x:c r="D139" s="35" t="str">
        <x:v>流派星徽</x:v>
      </x:c>
      <x:c r="E139" s="35" t="str">
        <x:v>style_emblem</x:v>
      </x:c>
      <x:c r="F139" s="35" t="str">
        <x:v>是</x:v>
      </x:c>
      <x:c r="G139" s="35" t="str">
        <x:v>是</x:v>
      </x:c>
      <x:c r="H139" s="35" t="str"/>
      <x:c r="I139" s="35" t="str">
        <x:v>currency_wars_equipment_041；currency_wars_equipment_085</x:v>
      </x:c>
      <x:c r="J139" s="35" t="str">
        <x:v>assets/currency_wars_equipment_icons/currency_wars_equipment_140.png</x:v>
      </x:c>
      <x:c r="K139" s="35" t="str">
        <x:v>6bf18d593f86e4963b0ac3862024e6a45424db064e41a5fe8dc55cb91f7dec5f</x:v>
      </x:c>
      <x:c r="L139" s="35" t="str">
        <x:v>6bf18d593f86e4963b0ac3862024e6a45424db064e41a5fe8dc55cb91f7dec5f</x:v>
      </x:c>
      <x:c r="M139" s="36" t="b">
        <x:v>1</x:v>
      </x:c>
      <x:c r="N139" s="35" t="n">
        <x:f>COUNTIF($L$2:$L$158,L139)</x:f>
        <x:v>1</x:v>
      </x:c>
      <x:c r="O139" s="35" t="str">
        <x:v>140</x:v>
      </x:c>
      <x:c r="P139" s="35" t="str">
        <x:v>能量星徽</x:v>
      </x:c>
      <x:c r="Q139" s="35" t="n">
        <x:v>25558</x:v>
      </x:c>
      <x:c r="R139" s="35" t="n">
        <x:v>128</x:v>
      </x:c>
      <x:c r="S139" s="35" t="n">
        <x:v>128</x:v>
      </x:c>
      <x:c r="T139" s="35" t="str">
        <x:v>https://patchwiki.biligame.com/images/sr/d/da/50uqdwdxpy277ilhqvqyxzcko0nz1gw.png</x:v>
      </x:c>
      <x:c r="U139" s="35" t="str">
        <x:v>https://wiki.biligame.com/sr/%E8%83%BD%E9%87%8F%E6%98%9F%E5%BE%BD</x:v>
      </x:c>
      <x:c r="V139" s="35" t="n">
        <x:v>99085</x:v>
      </x:c>
      <x:c r="W139" s="35" t="n">
        <x:v>200</x:v>
      </x:c>
      <x:c r="X139" s="35" t="str">
        <x:v>6bf18d593f86e4963b0ac3862024e6a45424db064e41a5fe8dc55cb91f7dec5f</x:v>
      </x:c>
      <x:c r="Y139" s="36" t="b">
        <x:v>1</x:v>
      </x:c>
      <x:c r="Z139" s="36" t="b">
        <x:v>1</x:v>
      </x:c>
      <x:c r="AA139" s="35" t="str">
        <x:v>HTTP 200 反爬占位页</x:v>
      </x:c>
      <x:c r="AB139" s="35" t="str"/>
      <x:c r="AC139" s="35" t="str">
        <x:v>equipment-contact-07.png</x:v>
      </x:c>
      <x:c r="AD139" s="35" t="str">
        <x:v>第4行第3列</x:v>
      </x:c>
      <x:c r="AE139" s="35" t="str">
        <x:v>逐项可见；未见空白、破损、异常裁切或相邻错位</x:v>
      </x:c>
      <x:c r="AF139" s="35" t="str">
        <x:v>本地哈希唯一；未发现图标与名称错位</x:v>
      </x:c>
      <x:c r="AG139" s="35" t="str">
        <x:v>BWIKI oldid=99085+PatchWiki；米游社官方资料仅提供玩法或少量条目补充</x:v>
      </x:c>
      <x:c r="AH139" s="35" t="str">
        <x:v>单条详情页本轮受限流/反爬影响，未获得独立页面实证</x:v>
      </x:c>
      <x:c r="AI139" s="38" t="str">
        <x:f>IF(OR(K139&lt;&gt;L139,M139&lt;&gt;TRUE,Y139&lt;&gt;TRUE,Z139&lt;&gt;TRUE),"冲突",IF(OR(D139="？",D139="？？？"),"分类冲突待确认",IF(N139&gt;1,"图标一致；具体ID不唯一","图标/名称/来源无已发现冲突")))</x:f>
        <x:v>图标/名称/来源无已发现冲突</x:v>
      </x:c>
    </x:row>
    <x:row r="140" ht="38" customHeight="1">
      <x:c r="A140" s="35" t="n">
        <x:v>139</x:v>
      </x:c>
      <x:c r="B140" s="35" t="str">
        <x:v>currency_wars_equipment_141</x:v>
      </x:c>
      <x:c r="C140" s="35" t="str">
        <x:v>追击星徽</x:v>
      </x:c>
      <x:c r="D140" s="35" t="str">
        <x:v>流派星徽</x:v>
      </x:c>
      <x:c r="E140" s="35" t="str">
        <x:v>style_emblem</x:v>
      </x:c>
      <x:c r="F140" s="35" t="str">
        <x:v>是</x:v>
      </x:c>
      <x:c r="G140" s="35" t="str">
        <x:v>是</x:v>
      </x:c>
      <x:c r="H140" s="35" t="str"/>
      <x:c r="I140" s="35" t="str">
        <x:v>currency_wars_equipment_046；currency_wars_equipment_085</x:v>
      </x:c>
      <x:c r="J140" s="35" t="str">
        <x:v>assets/currency_wars_equipment_icons/currency_wars_equipment_141.png</x:v>
      </x:c>
      <x:c r="K140" s="35" t="str">
        <x:v>665cbd400c31a3fc7c53968301bbee428275924775d69d0848d631924c94c4cd</x:v>
      </x:c>
      <x:c r="L140" s="35" t="str">
        <x:v>665cbd400c31a3fc7c53968301bbee428275924775d69d0848d631924c94c4cd</x:v>
      </x:c>
      <x:c r="M140" s="36" t="b">
        <x:v>1</x:v>
      </x:c>
      <x:c r="N140" s="35" t="n">
        <x:f>COUNTIF($L$2:$L$158,L140)</x:f>
        <x:v>1</x:v>
      </x:c>
      <x:c r="O140" s="35" t="str">
        <x:v>141</x:v>
      </x:c>
      <x:c r="P140" s="35" t="str">
        <x:v>追击星徽</x:v>
      </x:c>
      <x:c r="Q140" s="35" t="n">
        <x:v>25965</x:v>
      </x:c>
      <x:c r="R140" s="35" t="n">
        <x:v>128</x:v>
      </x:c>
      <x:c r="S140" s="35" t="n">
        <x:v>128</x:v>
      </x:c>
      <x:c r="T140" s="35" t="str">
        <x:v>https://patchwiki.biligame.com/images/sr/d/dd/mfq8mgtwupqqbp5v4nbftz4dw581c7y.png</x:v>
      </x:c>
      <x:c r="U140" s="35" t="str">
        <x:v>https://wiki.biligame.com/sr/%E8%BF%BD%E5%87%BB%E6%98%9F%E5%BE%BD</x:v>
      </x:c>
      <x:c r="V140" s="35" t="n">
        <x:v>99085</x:v>
      </x:c>
      <x:c r="W140" s="35" t="n">
        <x:v>200</x:v>
      </x:c>
      <x:c r="X140" s="35" t="str">
        <x:v>665cbd400c31a3fc7c53968301bbee428275924775d69d0848d631924c94c4cd</x:v>
      </x:c>
      <x:c r="Y140" s="36" t="b">
        <x:v>1</x:v>
      </x:c>
      <x:c r="Z140" s="36" t="b">
        <x:v>1</x:v>
      </x:c>
      <x:c r="AA140" s="35" t="str">
        <x:v>HTTP 200 反爬占位页</x:v>
      </x:c>
      <x:c r="AB140" s="35" t="str"/>
      <x:c r="AC140" s="35" t="str">
        <x:v>equipment-contact-07.png</x:v>
      </x:c>
      <x:c r="AD140" s="35" t="str">
        <x:v>第4行第4列</x:v>
      </x:c>
      <x:c r="AE140" s="35" t="str">
        <x:v>逐项可见；未见空白、破损、异常裁切或相邻错位</x:v>
      </x:c>
      <x:c r="AF140" s="35" t="str">
        <x:v>本地哈希唯一；未发现图标与名称错位</x:v>
      </x:c>
      <x:c r="AG140" s="35" t="str">
        <x:v>BWIKI oldid=99085+PatchWiki；米游社官方资料仅提供玩法或少量条目补充</x:v>
      </x:c>
      <x:c r="AH140" s="35" t="str">
        <x:v>单条详情页本轮受限流/反爬影响，未获得独立页面实证</x:v>
      </x:c>
      <x:c r="AI140" s="38" t="str">
        <x:f>IF(OR(K140&lt;&gt;L140,M140&lt;&gt;TRUE,Y140&lt;&gt;TRUE,Z140&lt;&gt;TRUE),"冲突",IF(OR(D140="？",D140="？？？"),"分类冲突待确认",IF(N140&gt;1,"图标一致；具体ID不唯一","图标/名称/来源无已发现冲突")))</x:f>
        <x:v>图标/名称/来源无已发现冲突</x:v>
      </x:c>
    </x:row>
    <x:row r="141" ht="38" customHeight="1">
      <x:c r="A141" s="35" t="n">
        <x:v>140</x:v>
      </x:c>
      <x:c r="B141" s="35" t="str">
        <x:v>currency_wars_equipment_142</x:v>
      </x:c>
      <x:c r="C141" s="35" t="str">
        <x:v>量子同频星徽</x:v>
      </x:c>
      <x:c r="D141" s="35" t="str">
        <x:v>流派星徽</x:v>
      </x:c>
      <x:c r="E141" s="35" t="str">
        <x:v>style_emblem</x:v>
      </x:c>
      <x:c r="F141" s="35" t="str">
        <x:v>是</x:v>
      </x:c>
      <x:c r="G141" s="35" t="str">
        <x:v>是</x:v>
      </x:c>
      <x:c r="H141" s="35" t="str"/>
      <x:c r="I141" s="35" t="str"/>
      <x:c r="J141" s="35" t="str">
        <x:v>assets/currency_wars_equipment_icons/currency_wars_equipment_142.png</x:v>
      </x:c>
      <x:c r="K141" s="35" t="str">
        <x:v>cea8385b73e582e4c3ce4889fdc34ee4bdef30e897e43d077fc9f751015b2ca2</x:v>
      </x:c>
      <x:c r="L141" s="35" t="str">
        <x:v>cea8385b73e582e4c3ce4889fdc34ee4bdef30e897e43d077fc9f751015b2ca2</x:v>
      </x:c>
      <x:c r="M141" s="36" t="b">
        <x:v>1</x:v>
      </x:c>
      <x:c r="N141" s="35" t="n">
        <x:f>COUNTIF($L$2:$L$158,L141)</x:f>
        <x:v>1</x:v>
      </x:c>
      <x:c r="O141" s="35" t="str">
        <x:v>142</x:v>
      </x:c>
      <x:c r="P141" s="35" t="str">
        <x:v>量子同频星徽</x:v>
      </x:c>
      <x:c r="Q141" s="35" t="n">
        <x:v>25361</x:v>
      </x:c>
      <x:c r="R141" s="35" t="n">
        <x:v>128</x:v>
      </x:c>
      <x:c r="S141" s="35" t="n">
        <x:v>128</x:v>
      </x:c>
      <x:c r="T141" s="35" t="str">
        <x:v>https://patchwiki.biligame.com/images/sr/1/19/bkvzoohw5g9n06c2rufyqhytuevu5vx.png</x:v>
      </x:c>
      <x:c r="U141" s="35" t="str">
        <x:v>https://wiki.biligame.com/sr/%E9%87%8F%E5%AD%90%E5%90%8C%E9%A2%91%E6%98%9F%E5%BE%BD</x:v>
      </x:c>
      <x:c r="V141" s="35" t="n">
        <x:v>99085</x:v>
      </x:c>
      <x:c r="W141" s="35" t="n">
        <x:v>200</x:v>
      </x:c>
      <x:c r="X141" s="35" t="str">
        <x:v>cea8385b73e582e4c3ce4889fdc34ee4bdef30e897e43d077fc9f751015b2ca2</x:v>
      </x:c>
      <x:c r="Y141" s="36" t="b">
        <x:v>1</x:v>
      </x:c>
      <x:c r="Z141" s="36" t="b">
        <x:v>1</x:v>
      </x:c>
      <x:c r="AA141" s="35" t="str">
        <x:v>HTTP 200 反爬占位页</x:v>
      </x:c>
      <x:c r="AB141" s="35" t="str"/>
      <x:c r="AC141" s="35" t="str">
        <x:v>equipment-contact-07.png</x:v>
      </x:c>
      <x:c r="AD141" s="35" t="str">
        <x:v>第4行第5列</x:v>
      </x:c>
      <x:c r="AE141" s="35" t="str">
        <x:v>逐项可见；未见空白、破损、异常裁切或相邻错位</x:v>
      </x:c>
      <x:c r="AF141" s="35" t="str">
        <x:v>本地哈希唯一；未发现图标与名称错位</x:v>
      </x:c>
      <x:c r="AG141" s="35" t="str">
        <x:v>BWIKI oldid=99085+PatchWiki；米游社官方资料仅提供玩法或少量条目补充</x:v>
      </x:c>
      <x:c r="AH141" s="35" t="str">
        <x:v>单条详情页本轮受限流/反爬影响，未获得独立页面实证</x:v>
      </x:c>
      <x:c r="AI141" s="38" t="str">
        <x:f>IF(OR(K141&lt;&gt;L141,M141&lt;&gt;TRUE,Y141&lt;&gt;TRUE,Z141&lt;&gt;TRUE),"冲突",IF(OR(D141="？",D141="？？？"),"分类冲突待确认",IF(N141&gt;1,"图标一致；具体ID不唯一","图标/名称/来源无已发现冲突")))</x:f>
        <x:v>图标/名称/来源无已发现冲突</x:v>
      </x:c>
    </x:row>
    <x:row r="142" ht="38" customHeight="1">
      <x:c r="A142" s="35" t="n">
        <x:v>141</x:v>
      </x:c>
      <x:c r="B142" s="35" t="str">
        <x:v>currency_wars_equipment_143</x:v>
      </x:c>
      <x:c r="C142" s="35" t="str">
        <x:v>极•白昼•光速螺旋桨</x:v>
      </x:c>
      <x:c r="D142" s="35" t="str">
        <x:v>羁绊装备</x:v>
      </x:c>
      <x:c r="E142" s="35" t="str">
        <x:v>bond_equipment</x:v>
      </x:c>
      <x:c r="F142" s="35" t="str">
        <x:v>是</x:v>
      </x:c>
      <x:c r="G142" s="35" t="str">
        <x:v>是</x:v>
      </x:c>
      <x:c r="H142" s="35" t="str"/>
      <x:c r="I142" s="35" t="str"/>
      <x:c r="J142" s="35" t="str">
        <x:v>assets/currency_wars_equipment_icons/currency_wars_equipment_143.png</x:v>
      </x:c>
      <x:c r="K142" s="35" t="str">
        <x:v>e6a8adcd7331b1036186a76b3190cd5746b58d89e84e5a6aa07a25860b760eb2</x:v>
      </x:c>
      <x:c r="L142" s="35" t="str">
        <x:v>e6a8adcd7331b1036186a76b3190cd5746b58d89e84e5a6aa07a25860b760eb2</x:v>
      </x:c>
      <x:c r="M142" s="36" t="b">
        <x:v>1</x:v>
      </x:c>
      <x:c r="N142" s="39" t="n">
        <x:f>COUNTIF($L$2:$L$158,L142)</x:f>
        <x:v>4</x:v>
      </x:c>
      <x:c r="O142" s="39" t="str">
        <x:v>051；090；143；146</x:v>
      </x:c>
      <x:c r="P142" s="39" t="str">
        <x:v>光速螺旋桨；光速螺旋桨•特权；极•白昼•光速螺旋桨；白昼•光速螺旋桨</x:v>
      </x:c>
      <x:c r="Q142" s="35" t="n">
        <x:v>31526</x:v>
      </x:c>
      <x:c r="R142" s="35" t="n">
        <x:v>128</x:v>
      </x:c>
      <x:c r="S142" s="35" t="n">
        <x:v>128</x:v>
      </x:c>
      <x:c r="T142" s="35" t="str">
        <x:v>https://patchwiki.biligame.com/images/sr/2/2f/tuj9v192vmobh7xslh16kbia0uurl7q.png</x:v>
      </x:c>
      <x:c r="U142" s="35" t="str">
        <x:v>https://wiki.biligame.com/sr/%E6%9E%81%E2%80%A2%E7%99%BD%E6%98%BC%E2%80%A2%E5%85%89%E9%80%9F%E8%9E%BA%E6%97%8B%E6%A1%A8</x:v>
      </x:c>
      <x:c r="V142" s="35" t="n">
        <x:v>99085</x:v>
      </x:c>
      <x:c r="W142" s="35" t="n">
        <x:v>200</x:v>
      </x:c>
      <x:c r="X142" s="35" t="str">
        <x:v>e6a8adcd7331b1036186a76b3190cd5746b58d89e84e5a6aa07a25860b760eb2</x:v>
      </x:c>
      <x:c r="Y142" s="36" t="b">
        <x:v>1</x:v>
      </x:c>
      <x:c r="Z142" s="36" t="b">
        <x:v>1</x:v>
      </x:c>
      <x:c r="AA142" s="35" t="str">
        <x:v>HTTP 200 反爬占位页</x:v>
      </x:c>
      <x:c r="AB142" s="35" t="str"/>
      <x:c r="AC142" s="35" t="str">
        <x:v>equipment-contact-08.png</x:v>
      </x:c>
      <x:c r="AD142" s="35" t="str">
        <x:v>第1行第1列</x:v>
      </x:c>
      <x:c r="AE142" s="35" t="str">
        <x:v>逐项可见；未见空白、破损、异常裁切或相邻错位</x:v>
      </x:c>
      <x:c r="AF142" s="35" t="str">
        <x:v>同图多ID；识别时必须保留CandidateIds/Unknown，不得强收敛</x:v>
      </x:c>
      <x:c r="AG142" s="35" t="str">
        <x:v>BWIKI oldid=99085+PatchWiki；米游社官方资料仅提供玩法或少量条目补充</x:v>
      </x:c>
      <x:c r="AH142" s="35" t="str">
        <x:v>仅凭图标无法区分本簇具体ID</x:v>
      </x:c>
      <x:c r="AI142" s="40" t="str">
        <x:f>IF(OR(K142&lt;&gt;L142,M142&lt;&gt;TRUE,Y142&lt;&gt;TRUE,Z142&lt;&gt;TRUE),"冲突",IF(OR(D142="？",D142="？？？"),"分类冲突待确认",IF(N142&gt;1,"图标一致；具体ID不唯一","图标/名称/来源无已发现冲突")))</x:f>
        <x:v>图标一致；具体ID不唯一</x:v>
      </x:c>
    </x:row>
    <x:row r="143" ht="38" customHeight="1">
      <x:c r="A143" s="35" t="n">
        <x:v>142</x:v>
      </x:c>
      <x:c r="B143" s="35" t="str">
        <x:v>currency_wars_equipment_144</x:v>
      </x:c>
      <x:c r="C143" s="35" t="str">
        <x:v>极•白昼•斩首行动</x:v>
      </x:c>
      <x:c r="D143" s="35" t="str">
        <x:v>羁绊装备</x:v>
      </x:c>
      <x:c r="E143" s="35" t="str">
        <x:v>bond_equipment</x:v>
      </x:c>
      <x:c r="F143" s="35" t="str">
        <x:v>是</x:v>
      </x:c>
      <x:c r="G143" s="35" t="str">
        <x:v>是</x:v>
      </x:c>
      <x:c r="H143" s="35" t="str"/>
      <x:c r="I143" s="35" t="str"/>
      <x:c r="J143" s="35" t="str">
        <x:v>assets/currency_wars_equipment_icons/currency_wars_equipment_144.png</x:v>
      </x:c>
      <x:c r="K143" s="35" t="str">
        <x:v>b0adf69dddd5d0a23fdd0fea212c0b83a830ed01a268fbdddcc3f9825bfbc7a5</x:v>
      </x:c>
      <x:c r="L143" s="35" t="str">
        <x:v>b0adf69dddd5d0a23fdd0fea212c0b83a830ed01a268fbdddcc3f9825bfbc7a5</x:v>
      </x:c>
      <x:c r="M143" s="36" t="b">
        <x:v>1</x:v>
      </x:c>
      <x:c r="N143" s="39" t="n">
        <x:f>COUNTIF($L$2:$L$158,L143)</x:f>
        <x:v>4</x:v>
      </x:c>
      <x:c r="O143" s="39" t="str">
        <x:v>060；099；144；147</x:v>
      </x:c>
      <x:c r="P143" s="39" t="str">
        <x:v>斩首行动；斩首行动•特权；极•白昼•斩首行动；白昼•斩首行动</x:v>
      </x:c>
      <x:c r="Q143" s="35" t="n">
        <x:v>31190</x:v>
      </x:c>
      <x:c r="R143" s="35" t="n">
        <x:v>128</x:v>
      </x:c>
      <x:c r="S143" s="35" t="n">
        <x:v>128</x:v>
      </x:c>
      <x:c r="T143" s="35" t="str">
        <x:v>https://patchwiki.biligame.com/images/sr/5/52/pz3qe0xci2okxgu51qyp9zur7ejpert.png</x:v>
      </x:c>
      <x:c r="U143" s="35" t="str">
        <x:v>https://wiki.biligame.com/sr/%E6%9E%81%E2%80%A2%E7%99%BD%E6%98%BC%E2%80%A2%E6%96%A9%E9%A6%96%E8%A1%8C%E5%8A%A8</x:v>
      </x:c>
      <x:c r="V143" s="35" t="n">
        <x:v>99085</x:v>
      </x:c>
      <x:c r="W143" s="35" t="n">
        <x:v>200</x:v>
      </x:c>
      <x:c r="X143" s="35" t="str">
        <x:v>b0adf69dddd5d0a23fdd0fea212c0b83a830ed01a268fbdddcc3f9825bfbc7a5</x:v>
      </x:c>
      <x:c r="Y143" s="36" t="b">
        <x:v>1</x:v>
      </x:c>
      <x:c r="Z143" s="36" t="b">
        <x:v>1</x:v>
      </x:c>
      <x:c r="AA143" s="35" t="str">
        <x:v>HTTP 200 反爬占位页</x:v>
      </x:c>
      <x:c r="AB143" s="35" t="str"/>
      <x:c r="AC143" s="35" t="str">
        <x:v>equipment-contact-08.png</x:v>
      </x:c>
      <x:c r="AD143" s="35" t="str">
        <x:v>第1行第2列</x:v>
      </x:c>
      <x:c r="AE143" s="35" t="str">
        <x:v>逐项可见；未见空白、破损、异常裁切或相邻错位</x:v>
      </x:c>
      <x:c r="AF143" s="35" t="str">
        <x:v>同图多ID；识别时必须保留CandidateIds/Unknown，不得强收敛</x:v>
      </x:c>
      <x:c r="AG143" s="35" t="str">
        <x:v>BWIKI oldid=99085+PatchWiki；米游社官方资料仅提供玩法或少量条目补充</x:v>
      </x:c>
      <x:c r="AH143" s="35" t="str">
        <x:v>仅凭图标无法区分本簇具体ID</x:v>
      </x:c>
      <x:c r="AI143" s="40" t="str">
        <x:f>IF(OR(K143&lt;&gt;L143,M143&lt;&gt;TRUE,Y143&lt;&gt;TRUE,Z143&lt;&gt;TRUE),"冲突",IF(OR(D143="？",D143="？？？"),"分类冲突待确认",IF(N143&gt;1,"图标一致；具体ID不唯一","图标/名称/来源无已发现冲突")))</x:f>
        <x:v>图标一致；具体ID不唯一</x:v>
      </x:c>
    </x:row>
    <x:row r="144" ht="38" customHeight="1">
      <x:c r="A144" s="35" t="n">
        <x:v>143</x:v>
      </x:c>
      <x:c r="B144" s="35" t="str">
        <x:v>currency_wars_equipment_145</x:v>
      </x:c>
      <x:c r="C144" s="35" t="str">
        <x:v>极•白昼•武器大师</x:v>
      </x:c>
      <x:c r="D144" s="35" t="str">
        <x:v>羁绊装备</x:v>
      </x:c>
      <x:c r="E144" s="35" t="str">
        <x:v>bond_equipment</x:v>
      </x:c>
      <x:c r="F144" s="35" t="str">
        <x:v>是</x:v>
      </x:c>
      <x:c r="G144" s="35" t="str">
        <x:v>是</x:v>
      </x:c>
      <x:c r="H144" s="35" t="str"/>
      <x:c r="I144" s="35" t="str"/>
      <x:c r="J144" s="35" t="str">
        <x:v>assets/currency_wars_equipment_icons/currency_wars_equipment_145.png</x:v>
      </x:c>
      <x:c r="K144" s="35" t="str">
        <x:v>93348c2a315f9c98e8161bda98add1b8f30ca312fd1ca69d1b26d466f4dfcc06</x:v>
      </x:c>
      <x:c r="L144" s="35" t="str">
        <x:v>93348c2a315f9c98e8161bda98add1b8f30ca312fd1ca69d1b26d466f4dfcc06</x:v>
      </x:c>
      <x:c r="M144" s="36" t="b">
        <x:v>1</x:v>
      </x:c>
      <x:c r="N144" s="39" t="n">
        <x:f>COUNTIF($L$2:$L$158,L144)</x:f>
        <x:v>4</x:v>
      </x:c>
      <x:c r="O144" s="39" t="str">
        <x:v>063；102；145；148</x:v>
      </x:c>
      <x:c r="P144" s="39" t="str">
        <x:v>武器大师；武器大师•特权；极•白昼•武器大师；白昼•武器大师</x:v>
      </x:c>
      <x:c r="Q144" s="35" t="n">
        <x:v>34524</x:v>
      </x:c>
      <x:c r="R144" s="35" t="n">
        <x:v>128</x:v>
      </x:c>
      <x:c r="S144" s="35" t="n">
        <x:v>128</x:v>
      </x:c>
      <x:c r="T144" s="35" t="str">
        <x:v>https://patchwiki.biligame.com/images/sr/b/b1/hgt31ij3fy4x37nmhmuads1kd3ffaw1.png</x:v>
      </x:c>
      <x:c r="U144" s="35" t="str">
        <x:v>https://wiki.biligame.com/sr/%E6%9E%81%E2%80%A2%E7%99%BD%E6%98%BC%E2%80%A2%E6%AD%A6%E5%99%A8%E5%A4%A7%E5%B8%88</x:v>
      </x:c>
      <x:c r="V144" s="35" t="n">
        <x:v>99085</x:v>
      </x:c>
      <x:c r="W144" s="35" t="n">
        <x:v>200</x:v>
      </x:c>
      <x:c r="X144" s="35" t="str">
        <x:v>93348c2a315f9c98e8161bda98add1b8f30ca312fd1ca69d1b26d466f4dfcc06</x:v>
      </x:c>
      <x:c r="Y144" s="36" t="b">
        <x:v>1</x:v>
      </x:c>
      <x:c r="Z144" s="36" t="b">
        <x:v>1</x:v>
      </x:c>
      <x:c r="AA144" s="35" t="str">
        <x:v>HTTP 200 反爬占位页</x:v>
      </x:c>
      <x:c r="AB144" s="35" t="str"/>
      <x:c r="AC144" s="35" t="str">
        <x:v>equipment-contact-08.png</x:v>
      </x:c>
      <x:c r="AD144" s="35" t="str">
        <x:v>第1行第3列</x:v>
      </x:c>
      <x:c r="AE144" s="35" t="str">
        <x:v>逐项可见；未见空白、破损、异常裁切或相邻错位</x:v>
      </x:c>
      <x:c r="AF144" s="35" t="str">
        <x:v>同图多ID；识别时必须保留CandidateIds/Unknown，不得强收敛</x:v>
      </x:c>
      <x:c r="AG144" s="35" t="str">
        <x:v>BWIKI oldid=99085+PatchWiki；米游社官方资料仅提供玩法或少量条目补充</x:v>
      </x:c>
      <x:c r="AH144" s="35" t="str">
        <x:v>仅凭图标无法区分本簇具体ID</x:v>
      </x:c>
      <x:c r="AI144" s="40" t="str">
        <x:f>IF(OR(K144&lt;&gt;L144,M144&lt;&gt;TRUE,Y144&lt;&gt;TRUE,Z144&lt;&gt;TRUE),"冲突",IF(OR(D144="？",D144="？？？"),"分类冲突待确认",IF(N144&gt;1,"图标一致；具体ID不唯一","图标/名称/来源无已发现冲突")))</x:f>
        <x:v>图标一致；具体ID不唯一</x:v>
      </x:c>
    </x:row>
    <x:row r="145" ht="38" customHeight="1">
      <x:c r="A145" s="35" t="n">
        <x:v>144</x:v>
      </x:c>
      <x:c r="B145" s="35" t="str">
        <x:v>currency_wars_equipment_146</x:v>
      </x:c>
      <x:c r="C145" s="35" t="str">
        <x:v>白昼•光速螺旋桨</x:v>
      </x:c>
      <x:c r="D145" s="35" t="str">
        <x:v>羁绊装备</x:v>
      </x:c>
      <x:c r="E145" s="35" t="str">
        <x:v>bond_equipment</x:v>
      </x:c>
      <x:c r="F145" s="35" t="str">
        <x:v>是</x:v>
      </x:c>
      <x:c r="G145" s="35" t="str">
        <x:v>是</x:v>
      </x:c>
      <x:c r="H145" s="35" t="str"/>
      <x:c r="I145" s="35" t="str"/>
      <x:c r="J145" s="35" t="str">
        <x:v>assets/currency_wars_equipment_icons/currency_wars_equipment_146.png</x:v>
      </x:c>
      <x:c r="K145" s="35" t="str">
        <x:v>e6a8adcd7331b1036186a76b3190cd5746b58d89e84e5a6aa07a25860b760eb2</x:v>
      </x:c>
      <x:c r="L145" s="35" t="str">
        <x:v>e6a8adcd7331b1036186a76b3190cd5746b58d89e84e5a6aa07a25860b760eb2</x:v>
      </x:c>
      <x:c r="M145" s="36" t="b">
        <x:v>1</x:v>
      </x:c>
      <x:c r="N145" s="39" t="n">
        <x:f>COUNTIF($L$2:$L$158,L145)</x:f>
        <x:v>4</x:v>
      </x:c>
      <x:c r="O145" s="39" t="str">
        <x:v>051；090；143；146</x:v>
      </x:c>
      <x:c r="P145" s="39" t="str">
        <x:v>光速螺旋桨；光速螺旋桨•特权；极•白昼•光速螺旋桨；白昼•光速螺旋桨</x:v>
      </x:c>
      <x:c r="Q145" s="35" t="n">
        <x:v>31526</x:v>
      </x:c>
      <x:c r="R145" s="35" t="n">
        <x:v>128</x:v>
      </x:c>
      <x:c r="S145" s="35" t="n">
        <x:v>128</x:v>
      </x:c>
      <x:c r="T145" s="35" t="str">
        <x:v>https://patchwiki.biligame.com/images/sr/6/69/tuj9v192vmobh7xslh16kbia0uurl7q.png</x:v>
      </x:c>
      <x:c r="U145" s="35" t="str">
        <x:v>https://wiki.biligame.com/sr/%E7%99%BD%E6%98%BC%E2%80%A2%E5%85%89%E9%80%9F%E8%9E%BA%E6%97%8B%E6%A1%A8</x:v>
      </x:c>
      <x:c r="V145" s="35" t="n">
        <x:v>99085</x:v>
      </x:c>
      <x:c r="W145" s="35" t="n">
        <x:v>200</x:v>
      </x:c>
      <x:c r="X145" s="35" t="str">
        <x:v>e6a8adcd7331b1036186a76b3190cd5746b58d89e84e5a6aa07a25860b760eb2</x:v>
      </x:c>
      <x:c r="Y145" s="36" t="b">
        <x:v>1</x:v>
      </x:c>
      <x:c r="Z145" s="36" t="b">
        <x:v>1</x:v>
      </x:c>
      <x:c r="AA145" s="35" t="str">
        <x:v>HTTP 200 反爬占位页</x:v>
      </x:c>
      <x:c r="AB145" s="35" t="str"/>
      <x:c r="AC145" s="35" t="str">
        <x:v>equipment-contact-08.png</x:v>
      </x:c>
      <x:c r="AD145" s="35" t="str">
        <x:v>第1行第4列</x:v>
      </x:c>
      <x:c r="AE145" s="35" t="str">
        <x:v>逐项可见；未见空白、破损、异常裁切或相邻错位</x:v>
      </x:c>
      <x:c r="AF145" s="35" t="str">
        <x:v>同图多ID；识别时必须保留CandidateIds/Unknown，不得强收敛</x:v>
      </x:c>
      <x:c r="AG145" s="35" t="str">
        <x:v>BWIKI oldid=99085+PatchWiki；米游社官方资料仅提供玩法或少量条目补充</x:v>
      </x:c>
      <x:c r="AH145" s="35" t="str">
        <x:v>仅凭图标无法区分本簇具体ID</x:v>
      </x:c>
      <x:c r="AI145" s="40" t="str">
        <x:f>IF(OR(K145&lt;&gt;L145,M145&lt;&gt;TRUE,Y145&lt;&gt;TRUE,Z145&lt;&gt;TRUE),"冲突",IF(OR(D145="？",D145="？？？"),"分类冲突待确认",IF(N145&gt;1,"图标一致；具体ID不唯一","图标/名称/来源无已发现冲突")))</x:f>
        <x:v>图标一致；具体ID不唯一</x:v>
      </x:c>
    </x:row>
    <x:row r="146" ht="38" customHeight="1">
      <x:c r="A146" s="35" t="n">
        <x:v>145</x:v>
      </x:c>
      <x:c r="B146" s="35" t="str">
        <x:v>currency_wars_equipment_147</x:v>
      </x:c>
      <x:c r="C146" s="35" t="str">
        <x:v>白昼•斩首行动</x:v>
      </x:c>
      <x:c r="D146" s="35" t="str">
        <x:v>羁绊装备</x:v>
      </x:c>
      <x:c r="E146" s="35" t="str">
        <x:v>bond_equipment</x:v>
      </x:c>
      <x:c r="F146" s="35" t="str">
        <x:v>是</x:v>
      </x:c>
      <x:c r="G146" s="35" t="str">
        <x:v>是</x:v>
      </x:c>
      <x:c r="H146" s="35" t="str"/>
      <x:c r="I146" s="35" t="str"/>
      <x:c r="J146" s="35" t="str">
        <x:v>assets/currency_wars_equipment_icons/currency_wars_equipment_147.png</x:v>
      </x:c>
      <x:c r="K146" s="35" t="str">
        <x:v>b0adf69dddd5d0a23fdd0fea212c0b83a830ed01a268fbdddcc3f9825bfbc7a5</x:v>
      </x:c>
      <x:c r="L146" s="35" t="str">
        <x:v>b0adf69dddd5d0a23fdd0fea212c0b83a830ed01a268fbdddcc3f9825bfbc7a5</x:v>
      </x:c>
      <x:c r="M146" s="36" t="b">
        <x:v>1</x:v>
      </x:c>
      <x:c r="N146" s="39" t="n">
        <x:f>COUNTIF($L$2:$L$158,L146)</x:f>
        <x:v>4</x:v>
      </x:c>
      <x:c r="O146" s="39" t="str">
        <x:v>060；099；144；147</x:v>
      </x:c>
      <x:c r="P146" s="39" t="str">
        <x:v>斩首行动；斩首行动•特权；极•白昼•斩首行动；白昼•斩首行动</x:v>
      </x:c>
      <x:c r="Q146" s="35" t="n">
        <x:v>31190</x:v>
      </x:c>
      <x:c r="R146" s="35" t="n">
        <x:v>128</x:v>
      </x:c>
      <x:c r="S146" s="35" t="n">
        <x:v>128</x:v>
      </x:c>
      <x:c r="T146" s="35" t="str">
        <x:v>https://patchwiki.biligame.com/images/sr/8/8d/pz3qe0xci2okxgu51qyp9zur7ejpert.png</x:v>
      </x:c>
      <x:c r="U146" s="35" t="str">
        <x:v>https://wiki.biligame.com/sr/%E7%99%BD%E6%98%BC%E2%80%A2%E6%96%A9%E9%A6%96%E8%A1%8C%E5%8A%A8</x:v>
      </x:c>
      <x:c r="V146" s="35" t="n">
        <x:v>99085</x:v>
      </x:c>
      <x:c r="W146" s="35" t="n">
        <x:v>200</x:v>
      </x:c>
      <x:c r="X146" s="35" t="str">
        <x:v>b0adf69dddd5d0a23fdd0fea212c0b83a830ed01a268fbdddcc3f9825bfbc7a5</x:v>
      </x:c>
      <x:c r="Y146" s="36" t="b">
        <x:v>1</x:v>
      </x:c>
      <x:c r="Z146" s="36" t="b">
        <x:v>1</x:v>
      </x:c>
      <x:c r="AA146" s="35" t="str">
        <x:v>HTTP 200 反爬占位页</x:v>
      </x:c>
      <x:c r="AB146" s="35" t="str"/>
      <x:c r="AC146" s="35" t="str">
        <x:v>equipment-contact-08.png</x:v>
      </x:c>
      <x:c r="AD146" s="35" t="str">
        <x:v>第1行第5列</x:v>
      </x:c>
      <x:c r="AE146" s="35" t="str">
        <x:v>逐项可见；未见空白、破损、异常裁切或相邻错位</x:v>
      </x:c>
      <x:c r="AF146" s="35" t="str">
        <x:v>同图多ID；识别时必须保留CandidateIds/Unknown，不得强收敛</x:v>
      </x:c>
      <x:c r="AG146" s="35" t="str">
        <x:v>BWIKI oldid=99085+PatchWiki；米游社官方资料仅提供玩法或少量条目补充</x:v>
      </x:c>
      <x:c r="AH146" s="35" t="str">
        <x:v>仅凭图标无法区分本簇具体ID</x:v>
      </x:c>
      <x:c r="AI146" s="40" t="str">
        <x:f>IF(OR(K146&lt;&gt;L146,M146&lt;&gt;TRUE,Y146&lt;&gt;TRUE,Z146&lt;&gt;TRUE),"冲突",IF(OR(D146="？",D146="？？？"),"分类冲突待确认",IF(N146&gt;1,"图标一致；具体ID不唯一","图标/名称/来源无已发现冲突")))</x:f>
        <x:v>图标一致；具体ID不唯一</x:v>
      </x:c>
    </x:row>
    <x:row r="147" ht="38" customHeight="1">
      <x:c r="A147" s="35" t="n">
        <x:v>146</x:v>
      </x:c>
      <x:c r="B147" s="35" t="str">
        <x:v>currency_wars_equipment_148</x:v>
      </x:c>
      <x:c r="C147" s="35" t="str">
        <x:v>白昼•武器大师</x:v>
      </x:c>
      <x:c r="D147" s="35" t="str">
        <x:v>羁绊装备</x:v>
      </x:c>
      <x:c r="E147" s="35" t="str">
        <x:v>bond_equipment</x:v>
      </x:c>
      <x:c r="F147" s="35" t="str">
        <x:v>是</x:v>
      </x:c>
      <x:c r="G147" s="35" t="str">
        <x:v>是</x:v>
      </x:c>
      <x:c r="H147" s="35" t="str"/>
      <x:c r="I147" s="35" t="str"/>
      <x:c r="J147" s="35" t="str">
        <x:v>assets/currency_wars_equipment_icons/currency_wars_equipment_148.png</x:v>
      </x:c>
      <x:c r="K147" s="35" t="str">
        <x:v>93348c2a315f9c98e8161bda98add1b8f30ca312fd1ca69d1b26d466f4dfcc06</x:v>
      </x:c>
      <x:c r="L147" s="35" t="str">
        <x:v>93348c2a315f9c98e8161bda98add1b8f30ca312fd1ca69d1b26d466f4dfcc06</x:v>
      </x:c>
      <x:c r="M147" s="36" t="b">
        <x:v>1</x:v>
      </x:c>
      <x:c r="N147" s="39" t="n">
        <x:f>COUNTIF($L$2:$L$158,L147)</x:f>
        <x:v>4</x:v>
      </x:c>
      <x:c r="O147" s="39" t="str">
        <x:v>063；102；145；148</x:v>
      </x:c>
      <x:c r="P147" s="39" t="str">
        <x:v>武器大师；武器大师•特权；极•白昼•武器大师；白昼•武器大师</x:v>
      </x:c>
      <x:c r="Q147" s="35" t="n">
        <x:v>34524</x:v>
      </x:c>
      <x:c r="R147" s="35" t="n">
        <x:v>128</x:v>
      </x:c>
      <x:c r="S147" s="35" t="n">
        <x:v>128</x:v>
      </x:c>
      <x:c r="T147" s="35" t="str">
        <x:v>https://patchwiki.biligame.com/images/sr/0/0d/hgt31ij3fy4x37nmhmuads1kd3ffaw1.png</x:v>
      </x:c>
      <x:c r="U147" s="35" t="str">
        <x:v>https://wiki.biligame.com/sr/%E7%99%BD%E6%98%BC%E2%80%A2%E6%AD%A6%E5%99%A8%E5%A4%A7%E5%B8%88</x:v>
      </x:c>
      <x:c r="V147" s="35" t="n">
        <x:v>99085</x:v>
      </x:c>
      <x:c r="W147" s="35" t="n">
        <x:v>200</x:v>
      </x:c>
      <x:c r="X147" s="35" t="str">
        <x:v>93348c2a315f9c98e8161bda98add1b8f30ca312fd1ca69d1b26d466f4dfcc06</x:v>
      </x:c>
      <x:c r="Y147" s="36" t="b">
        <x:v>1</x:v>
      </x:c>
      <x:c r="Z147" s="36" t="b">
        <x:v>1</x:v>
      </x:c>
      <x:c r="AA147" s="35" t="str">
        <x:v>HTTP 200 反爬占位页</x:v>
      </x:c>
      <x:c r="AB147" s="35" t="str"/>
      <x:c r="AC147" s="35" t="str">
        <x:v>equipment-contact-08.png</x:v>
      </x:c>
      <x:c r="AD147" s="35" t="str">
        <x:v>第2行第1列</x:v>
      </x:c>
      <x:c r="AE147" s="35" t="str">
        <x:v>逐项可见；未见空白、破损、异常裁切或相邻错位</x:v>
      </x:c>
      <x:c r="AF147" s="35" t="str">
        <x:v>同图多ID；识别时必须保留CandidateIds/Unknown，不得强收敛</x:v>
      </x:c>
      <x:c r="AG147" s="35" t="str">
        <x:v>BWIKI oldid=99085+PatchWiki；米游社官方资料仅提供玩法或少量条目补充</x:v>
      </x:c>
      <x:c r="AH147" s="35" t="str">
        <x:v>仅凭图标无法区分本簇具体ID</x:v>
      </x:c>
      <x:c r="AI147" s="40" t="str">
        <x:f>IF(OR(K147&lt;&gt;L147,M147&lt;&gt;TRUE,Y147&lt;&gt;TRUE,Z147&lt;&gt;TRUE),"冲突",IF(OR(D147="？",D147="？？？"),"分类冲突待确认",IF(N147&gt;1,"图标一致；具体ID不唯一","图标/名称/来源无已发现冲突")))</x:f>
        <x:v>图标一致；具体ID不唯一</x:v>
      </x:c>
    </x:row>
    <x:row r="148" ht="38" customHeight="1">
      <x:c r="A148" s="35" t="n">
        <x:v>147</x:v>
      </x:c>
      <x:c r="B148" s="35" t="str">
        <x:v>currency_wars_equipment_149</x:v>
      </x:c>
      <x:c r="C148" s="35" t="str">
        <x:v>冶金炉</x:v>
      </x:c>
      <x:c r="D148" s="35" t="str">
        <x:v>消耗品</x:v>
      </x:c>
      <x:c r="E148" s="35" t="str">
        <x:v>consumable</x:v>
      </x:c>
      <x:c r="F148" s="35" t="str">
        <x:v>否</x:v>
      </x:c>
      <x:c r="G148" s="35" t="str">
        <x:v>否</x:v>
      </x:c>
      <x:c r="H148" s="35" t="str"/>
      <x:c r="I148" s="35" t="str"/>
      <x:c r="J148" s="35" t="str">
        <x:v>assets/currency_wars_equipment_icons/currency_wars_equipment_149.png</x:v>
      </x:c>
      <x:c r="K148" s="35" t="str">
        <x:v>52909de2e822053c674356b2f226e42ec3431c9352facfabee595f226b0fb0d2</x:v>
      </x:c>
      <x:c r="L148" s="35" t="str">
        <x:v>52909de2e822053c674356b2f226e42ec3431c9352facfabee595f226b0fb0d2</x:v>
      </x:c>
      <x:c r="M148" s="36" t="b">
        <x:v>1</x:v>
      </x:c>
      <x:c r="N148" s="35" t="n">
        <x:f>COUNTIF($L$2:$L$158,L148)</x:f>
        <x:v>1</x:v>
      </x:c>
      <x:c r="O148" s="35" t="str">
        <x:v>149</x:v>
      </x:c>
      <x:c r="P148" s="35" t="str">
        <x:v>冶金炉</x:v>
      </x:c>
      <x:c r="Q148" s="35" t="n">
        <x:v>31684</x:v>
      </x:c>
      <x:c r="R148" s="35" t="n">
        <x:v>128</x:v>
      </x:c>
      <x:c r="S148" s="35" t="n">
        <x:v>128</x:v>
      </x:c>
      <x:c r="T148" s="35" t="str">
        <x:v>https://patchwiki.biligame.com/images/sr/e/ee/tm987zq2s9k6gioxrt0xrpon793eq27.png</x:v>
      </x:c>
      <x:c r="U148" s="35" t="str">
        <x:v>https://wiki.biligame.com/sr/%E5%86%B6%E9%87%91%E7%82%89</x:v>
      </x:c>
      <x:c r="V148" s="35" t="n">
        <x:v>99085</x:v>
      </x:c>
      <x:c r="W148" s="35" t="n">
        <x:v>200</x:v>
      </x:c>
      <x:c r="X148" s="35" t="str">
        <x:v>52909de2e822053c674356b2f226e42ec3431c9352facfabee595f226b0fb0d2</x:v>
      </x:c>
      <x:c r="Y148" s="36" t="b">
        <x:v>1</x:v>
      </x:c>
      <x:c r="Z148" s="36" t="b">
        <x:v>1</x:v>
      </x:c>
      <x:c r="AA148" s="35" t="str">
        <x:v>HTTP 200 反爬占位页</x:v>
      </x:c>
      <x:c r="AB148" s="35" t="str"/>
      <x:c r="AC148" s="35" t="str">
        <x:v>equipment-contact-08.png</x:v>
      </x:c>
      <x:c r="AD148" s="35" t="str">
        <x:v>第2行第2列</x:v>
      </x:c>
      <x:c r="AE148" s="35" t="str">
        <x:v>逐项可见；未见空白、破损、异常裁切或相邻错位</x:v>
      </x:c>
      <x:c r="AF148" s="35" t="str">
        <x:v>本地哈希唯一；未发现图标与名称错位</x:v>
      </x:c>
      <x:c r="AG148" s="35" t="str">
        <x:v>BWIKI oldid=99085+PatchWiki；米游社官方资料仅提供玩法或少量条目补充</x:v>
      </x:c>
      <x:c r="AH148" s="35" t="str">
        <x:v>单条详情页本轮受限流/反爬影响，未获得独立页面实证</x:v>
      </x:c>
      <x:c r="AI148" s="38" t="str">
        <x:f>IF(OR(K148&lt;&gt;L148,M148&lt;&gt;TRUE,Y148&lt;&gt;TRUE,Z148&lt;&gt;TRUE),"冲突",IF(OR(D148="？",D148="？？？"),"分类冲突待确认",IF(N148&gt;1,"图标一致；具体ID不唯一","图标/名称/来源无已发现冲突")))</x:f>
        <x:v>图标/名称/来源无已发现冲突</x:v>
      </x:c>
    </x:row>
    <x:row r="149" ht="38" customHeight="1">
      <x:c r="A149" s="35" t="n">
        <x:v>148</x:v>
      </x:c>
      <x:c r="B149" s="35" t="str">
        <x:v>currency_wars_equipment_150</x:v>
      </x:c>
      <x:c r="C149" s="35" t="str">
        <x:v>员工投影仪</x:v>
      </x:c>
      <x:c r="D149" s="35" t="str">
        <x:v>消耗品</x:v>
      </x:c>
      <x:c r="E149" s="35" t="str">
        <x:v>consumable</x:v>
      </x:c>
      <x:c r="F149" s="35" t="str">
        <x:v>否</x:v>
      </x:c>
      <x:c r="G149" s="35" t="str">
        <x:v>否</x:v>
      </x:c>
      <x:c r="H149" s="35" t="str"/>
      <x:c r="I149" s="35" t="str"/>
      <x:c r="J149" s="35" t="str">
        <x:v>assets/currency_wars_equipment_icons/currency_wars_equipment_150.png</x:v>
      </x:c>
      <x:c r="K149" s="35" t="str">
        <x:v>47ab81a776419ebfbf96b932d1478c479722741510867f78d6185af939c1d524</x:v>
      </x:c>
      <x:c r="L149" s="35" t="str">
        <x:v>47ab81a776419ebfbf96b932d1478c479722741510867f78d6185af939c1d524</x:v>
      </x:c>
      <x:c r="M149" s="36" t="b">
        <x:v>1</x:v>
      </x:c>
      <x:c r="N149" s="35" t="n">
        <x:f>COUNTIF($L$2:$L$158,L149)</x:f>
        <x:v>1</x:v>
      </x:c>
      <x:c r="O149" s="35" t="str">
        <x:v>150</x:v>
      </x:c>
      <x:c r="P149" s="35" t="str">
        <x:v>员工投影仪</x:v>
      </x:c>
      <x:c r="Q149" s="35" t="n">
        <x:v>21516</x:v>
      </x:c>
      <x:c r="R149" s="35" t="n">
        <x:v>128</x:v>
      </x:c>
      <x:c r="S149" s="35" t="n">
        <x:v>128</x:v>
      </x:c>
      <x:c r="T149" s="35" t="str">
        <x:v>https://patchwiki.biligame.com/images/sr/6/6a/5h34jtucjpahjnya0s4dty34fofr8zd.png</x:v>
      </x:c>
      <x:c r="U149" s="35" t="str">
        <x:v>https://wiki.biligame.com/sr/%E5%91%98%E5%B7%A5%E6%8A%95%E5%BD%B1%E4%BB%AA</x:v>
      </x:c>
      <x:c r="V149" s="35" t="n">
        <x:v>99085</x:v>
      </x:c>
      <x:c r="W149" s="35" t="n">
        <x:v>200</x:v>
      </x:c>
      <x:c r="X149" s="35" t="str">
        <x:v>47ab81a776419ebfbf96b932d1478c479722741510867f78d6185af939c1d524</x:v>
      </x:c>
      <x:c r="Y149" s="36" t="b">
        <x:v>1</x:v>
      </x:c>
      <x:c r="Z149" s="36" t="b">
        <x:v>1</x:v>
      </x:c>
      <x:c r="AA149" s="35" t="str">
        <x:v>HTTP 200 反爬占位页</x:v>
      </x:c>
      <x:c r="AB149" s="35" t="str"/>
      <x:c r="AC149" s="35" t="str">
        <x:v>equipment-contact-08.png</x:v>
      </x:c>
      <x:c r="AD149" s="35" t="str">
        <x:v>第2行第3列</x:v>
      </x:c>
      <x:c r="AE149" s="35" t="str">
        <x:v>逐项可见；未见空白、破损、异常裁切或相邻错位</x:v>
      </x:c>
      <x:c r="AF149" s="35" t="str">
        <x:v>本地哈希唯一；未发现图标与名称错位</x:v>
      </x:c>
      <x:c r="AG149" s="35" t="str">
        <x:v>BWIKI oldid=99085+PatchWiki；米游社官方资料仅提供玩法或少量条目补充</x:v>
      </x:c>
      <x:c r="AH149" s="35" t="str">
        <x:v>单条详情页本轮受限流/反爬影响，未获得独立页面实证</x:v>
      </x:c>
      <x:c r="AI149" s="38" t="str">
        <x:f>IF(OR(K149&lt;&gt;L149,M149&lt;&gt;TRUE,Y149&lt;&gt;TRUE,Z149&lt;&gt;TRUE),"冲突",IF(OR(D149="？",D149="？？？"),"分类冲突待确认",IF(N149&gt;1,"图标一致；具体ID不唯一","图标/名称/来源无已发现冲突")))</x:f>
        <x:v>图标/名称/来源无已发现冲突</x:v>
      </x:c>
    </x:row>
    <x:row r="150" ht="38" customHeight="1">
      <x:c r="A150" s="35" t="n">
        <x:v>149</x:v>
      </x:c>
      <x:c r="B150" s="35" t="str">
        <x:v>currency_wars_equipment_151</x:v>
      </x:c>
      <x:c r="C150" s="35" t="str">
        <x:v>好运令牌</x:v>
      </x:c>
      <x:c r="D150" s="35" t="str">
        <x:v>消耗品</x:v>
      </x:c>
      <x:c r="E150" s="35" t="str">
        <x:v>consumable</x:v>
      </x:c>
      <x:c r="F150" s="35" t="str">
        <x:v>否</x:v>
      </x:c>
      <x:c r="G150" s="35" t="str">
        <x:v>否</x:v>
      </x:c>
      <x:c r="H150" s="35" t="str"/>
      <x:c r="I150" s="35" t="str"/>
      <x:c r="J150" s="35" t="str">
        <x:v>assets/currency_wars_equipment_icons/currency_wars_equipment_151.png</x:v>
      </x:c>
      <x:c r="K150" s="35" t="str">
        <x:v>16a3b61d5ea6814e5356616d975dc92138dd7caa538d2c7d8107615acf9666b7</x:v>
      </x:c>
      <x:c r="L150" s="35" t="str">
        <x:v>16a3b61d5ea6814e5356616d975dc92138dd7caa538d2c7d8107615acf9666b7</x:v>
      </x:c>
      <x:c r="M150" s="36" t="b">
        <x:v>1</x:v>
      </x:c>
      <x:c r="N150" s="35" t="n">
        <x:f>COUNTIF($L$2:$L$158,L150)</x:f>
        <x:v>1</x:v>
      </x:c>
      <x:c r="O150" s="35" t="str">
        <x:v>151</x:v>
      </x:c>
      <x:c r="P150" s="35" t="str">
        <x:v>好运令牌</x:v>
      </x:c>
      <x:c r="Q150" s="35" t="n">
        <x:v>29452</x:v>
      </x:c>
      <x:c r="R150" s="35" t="n">
        <x:v>128</x:v>
      </x:c>
      <x:c r="S150" s="35" t="n">
        <x:v>128</x:v>
      </x:c>
      <x:c r="T150" s="35" t="str">
        <x:v>https://patchwiki.biligame.com/images/sr/e/eb/ec1wmho5we8rjxna2gmxcn5wy6ld1lv.png</x:v>
      </x:c>
      <x:c r="U150" s="35" t="str">
        <x:v>https://wiki.biligame.com/sr/%E5%A5%BD%E8%BF%90%E4%BB%A4%E7%89%8C</x:v>
      </x:c>
      <x:c r="V150" s="35" t="n">
        <x:v>99085</x:v>
      </x:c>
      <x:c r="W150" s="35" t="n">
        <x:v>200</x:v>
      </x:c>
      <x:c r="X150" s="35" t="str">
        <x:v>16a3b61d5ea6814e5356616d975dc92138dd7caa538d2c7d8107615acf9666b7</x:v>
      </x:c>
      <x:c r="Y150" s="36" t="b">
        <x:v>1</x:v>
      </x:c>
      <x:c r="Z150" s="36" t="b">
        <x:v>1</x:v>
      </x:c>
      <x:c r="AA150" s="35" t="str">
        <x:v>HTTP 200 反爬占位页</x:v>
      </x:c>
      <x:c r="AB150" s="35" t="str"/>
      <x:c r="AC150" s="35" t="str">
        <x:v>equipment-contact-08.png</x:v>
      </x:c>
      <x:c r="AD150" s="35" t="str">
        <x:v>第2行第4列</x:v>
      </x:c>
      <x:c r="AE150" s="35" t="str">
        <x:v>逐项可见；未见空白、破损、异常裁切或相邻错位</x:v>
      </x:c>
      <x:c r="AF150" s="35" t="str">
        <x:v>本地哈希唯一；未发现图标与名称错位</x:v>
      </x:c>
      <x:c r="AG150" s="35" t="str">
        <x:v>BWIKI oldid=99085+PatchWiki；米游社官方资料仅提供玩法或少量条目补充</x:v>
      </x:c>
      <x:c r="AH150" s="35" t="str">
        <x:v>单条详情页本轮受限流/反爬影响，未获得独立页面实证</x:v>
      </x:c>
      <x:c r="AI150" s="38" t="str">
        <x:f>IF(OR(K150&lt;&gt;L150,M150&lt;&gt;TRUE,Y150&lt;&gt;TRUE,Z150&lt;&gt;TRUE),"冲突",IF(OR(D150="？",D150="？？？"),"分类冲突待确认",IF(N150&gt;1,"图标一致；具体ID不唯一","图标/名称/来源无已发现冲突")))</x:f>
        <x:v>图标/名称/来源无已发现冲突</x:v>
      </x:c>
    </x:row>
    <x:row r="151" ht="38" customHeight="1">
      <x:c r="A151" s="35" t="n">
        <x:v>150</x:v>
      </x:c>
      <x:c r="B151" s="35" t="str">
        <x:v>currency_wars_equipment_152</x:v>
      </x:c>
      <x:c r="C151" s="35" t="str">
        <x:v>完美投影仪</x:v>
      </x:c>
      <x:c r="D151" s="35" t="str">
        <x:v>消耗品</x:v>
      </x:c>
      <x:c r="E151" s="35" t="str">
        <x:v>consumable</x:v>
      </x:c>
      <x:c r="F151" s="35" t="str">
        <x:v>否</x:v>
      </x:c>
      <x:c r="G151" s="35" t="str">
        <x:v>否</x:v>
      </x:c>
      <x:c r="H151" s="35" t="str"/>
      <x:c r="I151" s="35" t="str"/>
      <x:c r="J151" s="35" t="str">
        <x:v>assets/currency_wars_equipment_icons/currency_wars_equipment_152.png</x:v>
      </x:c>
      <x:c r="K151" s="35" t="str">
        <x:v>a26c1fad95d900395c1970af71cb8e27ef8cb33e813612f8b95688e1597adcc8</x:v>
      </x:c>
      <x:c r="L151" s="35" t="str">
        <x:v>a26c1fad95d900395c1970af71cb8e27ef8cb33e813612f8b95688e1597adcc8</x:v>
      </x:c>
      <x:c r="M151" s="36" t="b">
        <x:v>1</x:v>
      </x:c>
      <x:c r="N151" s="35" t="n">
        <x:f>COUNTIF($L$2:$L$158,L151)</x:f>
        <x:v>1</x:v>
      </x:c>
      <x:c r="O151" s="35" t="str">
        <x:v>152</x:v>
      </x:c>
      <x:c r="P151" s="35" t="str">
        <x:v>完美投影仪</x:v>
      </x:c>
      <x:c r="Q151" s="35" t="n">
        <x:v>25723</x:v>
      </x:c>
      <x:c r="R151" s="35" t="n">
        <x:v>128</x:v>
      </x:c>
      <x:c r="S151" s="35" t="n">
        <x:v>128</x:v>
      </x:c>
      <x:c r="T151" s="35" t="str">
        <x:v>https://patchwiki.biligame.com/images/sr/d/d0/ltbni6v7mh0xnhfhbbprmwwaxufelnj.png</x:v>
      </x:c>
      <x:c r="U151" s="35" t="str">
        <x:v>https://wiki.biligame.com/sr/%E5%AE%8C%E7%BE%8E%E6%8A%95%E5%BD%B1%E4%BB%AA</x:v>
      </x:c>
      <x:c r="V151" s="35" t="n">
        <x:v>99085</x:v>
      </x:c>
      <x:c r="W151" s="35" t="n">
        <x:v>200</x:v>
      </x:c>
      <x:c r="X151" s="35" t="str">
        <x:v>a26c1fad95d900395c1970af71cb8e27ef8cb33e813612f8b95688e1597adcc8</x:v>
      </x:c>
      <x:c r="Y151" s="36" t="b">
        <x:v>1</x:v>
      </x:c>
      <x:c r="Z151" s="36" t="b">
        <x:v>1</x:v>
      </x:c>
      <x:c r="AA151" s="35" t="str">
        <x:v>HTTP 200 反爬占位页</x:v>
      </x:c>
      <x:c r="AB151" s="35" t="str"/>
      <x:c r="AC151" s="35" t="str">
        <x:v>equipment-contact-08.png</x:v>
      </x:c>
      <x:c r="AD151" s="35" t="str">
        <x:v>第2行第5列</x:v>
      </x:c>
      <x:c r="AE151" s="35" t="str">
        <x:v>逐项可见；未见空白、破损、异常裁切或相邻错位</x:v>
      </x:c>
      <x:c r="AF151" s="35" t="str">
        <x:v>本地哈希唯一；未发现图标与名称错位</x:v>
      </x:c>
      <x:c r="AG151" s="35" t="str">
        <x:v>BWIKI oldid=99085+PatchWiki；米游社官方资料仅提供玩法或少量条目补充</x:v>
      </x:c>
      <x:c r="AH151" s="35" t="str">
        <x:v>单条详情页本轮受限流/反爬影响，未获得独立页面实证</x:v>
      </x:c>
      <x:c r="AI151" s="38" t="str">
        <x:f>IF(OR(K151&lt;&gt;L151,M151&lt;&gt;TRUE,Y151&lt;&gt;TRUE,Z151&lt;&gt;TRUE),"冲突",IF(OR(D151="？",D151="？？？"),"分类冲突待确认",IF(N151&gt;1,"图标一致；具体ID不唯一","图标/名称/来源无已发现冲突")))</x:f>
        <x:v>图标/名称/来源无已发现冲突</x:v>
      </x:c>
    </x:row>
    <x:row r="152" ht="38" customHeight="1">
      <x:c r="A152" s="35" t="n">
        <x:v>151</x:v>
      </x:c>
      <x:c r="B152" s="35" t="str">
        <x:v>currency_wars_equipment_153</x:v>
      </x:c>
      <x:c r="C152" s="35" t="str">
        <x:v>拆装扳手</x:v>
      </x:c>
      <x:c r="D152" s="35" t="str">
        <x:v>消耗品</x:v>
      </x:c>
      <x:c r="E152" s="35" t="str">
        <x:v>consumable</x:v>
      </x:c>
      <x:c r="F152" s="35" t="str">
        <x:v>否</x:v>
      </x:c>
      <x:c r="G152" s="35" t="str">
        <x:v>否</x:v>
      </x:c>
      <x:c r="H152" s="35" t="str"/>
      <x:c r="I152" s="35" t="str"/>
      <x:c r="J152" s="35" t="str">
        <x:v>assets/currency_wars_equipment_icons/currency_wars_equipment_153.png</x:v>
      </x:c>
      <x:c r="K152" s="35" t="str">
        <x:v>9844590643c43ac6f7fafc0d4c46f0139fa14587939c1b4a1179756fb930d083</x:v>
      </x:c>
      <x:c r="L152" s="35" t="str">
        <x:v>9844590643c43ac6f7fafc0d4c46f0139fa14587939c1b4a1179756fb930d083</x:v>
      </x:c>
      <x:c r="M152" s="36" t="b">
        <x:v>1</x:v>
      </x:c>
      <x:c r="N152" s="35" t="n">
        <x:f>COUNTIF($L$2:$L$158,L152)</x:f>
        <x:v>1</x:v>
      </x:c>
      <x:c r="O152" s="35" t="str">
        <x:v>153</x:v>
      </x:c>
      <x:c r="P152" s="35" t="str">
        <x:v>拆装扳手</x:v>
      </x:c>
      <x:c r="Q152" s="35" t="n">
        <x:v>23025</x:v>
      </x:c>
      <x:c r="R152" s="35" t="n">
        <x:v>128</x:v>
      </x:c>
      <x:c r="S152" s="35" t="n">
        <x:v>128</x:v>
      </x:c>
      <x:c r="T152" s="35" t="str">
        <x:v>https://patchwiki.biligame.com/images/sr/8/8d/byr0dil4xk0vofznnae74s0uixdjray.png</x:v>
      </x:c>
      <x:c r="U152" s="35" t="str">
        <x:v>https://wiki.biligame.com/sr/%E6%8B%86%E8%A3%85%E6%89%B3%E6%89%8B</x:v>
      </x:c>
      <x:c r="V152" s="35" t="n">
        <x:v>99085</x:v>
      </x:c>
      <x:c r="W152" s="35" t="n">
        <x:v>200</x:v>
      </x:c>
      <x:c r="X152" s="35" t="str">
        <x:v>9844590643c43ac6f7fafc0d4c46f0139fa14587939c1b4a1179756fb930d083</x:v>
      </x:c>
      <x:c r="Y152" s="36" t="b">
        <x:v>1</x:v>
      </x:c>
      <x:c r="Z152" s="36" t="b">
        <x:v>1</x:v>
      </x:c>
      <x:c r="AA152" s="35" t="str">
        <x:v>HTTP 200 反爬占位页</x:v>
      </x:c>
      <x:c r="AB152" s="35" t="str"/>
      <x:c r="AC152" s="35" t="str">
        <x:v>equipment-contact-08.png</x:v>
      </x:c>
      <x:c r="AD152" s="35" t="str">
        <x:v>第3行第1列</x:v>
      </x:c>
      <x:c r="AE152" s="35" t="str">
        <x:v>逐项可见；未见空白、破损、异常裁切或相邻错位</x:v>
      </x:c>
      <x:c r="AF152" s="35" t="str">
        <x:v>本地哈希唯一；未发现图标与名称错位</x:v>
      </x:c>
      <x:c r="AG152" s="35" t="str">
        <x:v>BWIKI oldid=99085+PatchWiki；米游社官方资料仅提供玩法或少量条目补充</x:v>
      </x:c>
      <x:c r="AH152" s="35" t="str">
        <x:v>单条详情页本轮受限流/反爬影响，未获得独立页面实证</x:v>
      </x:c>
      <x:c r="AI152" s="38" t="str">
        <x:f>IF(OR(K152&lt;&gt;L152,M152&lt;&gt;TRUE,Y152&lt;&gt;TRUE,Z152&lt;&gt;TRUE),"冲突",IF(OR(D152="？",D152="？？？"),"分类冲突待确认",IF(N152&gt;1,"图标一致；具体ID不唯一","图标/名称/来源无已发现冲突")))</x:f>
        <x:v>图标/名称/来源无已发现冲突</x:v>
      </x:c>
    </x:row>
    <x:row r="153" ht="38" customHeight="1">
      <x:c r="A153" s="35" t="n">
        <x:v>152</x:v>
      </x:c>
      <x:c r="B153" s="35" t="str">
        <x:v>currency_wars_equipment_154</x:v>
      </x:c>
      <x:c r="C153" s="35" t="str">
        <x:v>特权赋予卡</x:v>
      </x:c>
      <x:c r="D153" s="35" t="str">
        <x:v>消耗品</x:v>
      </x:c>
      <x:c r="E153" s="35" t="str">
        <x:v>consumable</x:v>
      </x:c>
      <x:c r="F153" s="35" t="str">
        <x:v>否</x:v>
      </x:c>
      <x:c r="G153" s="35" t="str">
        <x:v>否</x:v>
      </x:c>
      <x:c r="H153" s="35" t="str"/>
      <x:c r="I153" s="35" t="str"/>
      <x:c r="J153" s="35" t="str">
        <x:v>assets/currency_wars_equipment_icons/currency_wars_equipment_154.png</x:v>
      </x:c>
      <x:c r="K153" s="35" t="str">
        <x:v>4ef96afdd43945d75018892980415b2c408c8c6e6cb8146b47590a7024835655</x:v>
      </x:c>
      <x:c r="L153" s="35" t="str">
        <x:v>4ef96afdd43945d75018892980415b2c408c8c6e6cb8146b47590a7024835655</x:v>
      </x:c>
      <x:c r="M153" s="36" t="b">
        <x:v>1</x:v>
      </x:c>
      <x:c r="N153" s="35" t="n">
        <x:f>COUNTIF($L$2:$L$158,L153)</x:f>
        <x:v>1</x:v>
      </x:c>
      <x:c r="O153" s="35" t="str">
        <x:v>154</x:v>
      </x:c>
      <x:c r="P153" s="35" t="str">
        <x:v>特权赋予卡</x:v>
      </x:c>
      <x:c r="Q153" s="35" t="n">
        <x:v>30878</x:v>
      </x:c>
      <x:c r="R153" s="35" t="n">
        <x:v>128</x:v>
      </x:c>
      <x:c r="S153" s="35" t="n">
        <x:v>128</x:v>
      </x:c>
      <x:c r="T153" s="35" t="str">
        <x:v>https://patchwiki.biligame.com/images/sr/3/3b/jsi3f3awcru1azwl2ms2a4wov5g8jy9.png</x:v>
      </x:c>
      <x:c r="U153" s="35" t="str">
        <x:v>https://wiki.biligame.com/sr/%E7%89%B9%E6%9D%83%E8%B5%8B%E4%BA%88%E5%8D%A1</x:v>
      </x:c>
      <x:c r="V153" s="35" t="n">
        <x:v>99085</x:v>
      </x:c>
      <x:c r="W153" s="35" t="n">
        <x:v>200</x:v>
      </x:c>
      <x:c r="X153" s="35" t="str">
        <x:v>4ef96afdd43945d75018892980415b2c408c8c6e6cb8146b47590a7024835655</x:v>
      </x:c>
      <x:c r="Y153" s="36" t="b">
        <x:v>1</x:v>
      </x:c>
      <x:c r="Z153" s="36" t="b">
        <x:v>1</x:v>
      </x:c>
      <x:c r="AA153" s="35" t="str">
        <x:v>HTTP 200 反爬占位页</x:v>
      </x:c>
      <x:c r="AB153" s="35" t="str"/>
      <x:c r="AC153" s="35" t="str">
        <x:v>equipment-contact-08.png</x:v>
      </x:c>
      <x:c r="AD153" s="35" t="str">
        <x:v>第3行第2列</x:v>
      </x:c>
      <x:c r="AE153" s="35" t="str">
        <x:v>逐项可见；未见空白、破损、异常裁切或相邻错位</x:v>
      </x:c>
      <x:c r="AF153" s="35" t="str">
        <x:v>本地哈希唯一；未发现图标与名称错位</x:v>
      </x:c>
      <x:c r="AG153" s="35" t="str">
        <x:v>BWIKI oldid=99085+PatchWiki；米游社官方资料仅提供玩法或少量条目补充</x:v>
      </x:c>
      <x:c r="AH153" s="35" t="str">
        <x:v>单条详情页本轮受限流/反爬影响，未获得独立页面实证</x:v>
      </x:c>
      <x:c r="AI153" s="38" t="str">
        <x:f>IF(OR(K153&lt;&gt;L153,M153&lt;&gt;TRUE,Y153&lt;&gt;TRUE,Z153&lt;&gt;TRUE),"冲突",IF(OR(D153="？",D153="？？？"),"分类冲突待确认",IF(N153&gt;1,"图标一致；具体ID不唯一","图标/名称/来源无已发现冲突")))</x:f>
        <x:v>图标/名称/来源无已发现冲突</x:v>
      </x:c>
    </x:row>
    <x:row r="154" ht="38" customHeight="1">
      <x:c r="A154" s="35" t="n">
        <x:v>153</x:v>
      </x:c>
      <x:c r="B154" s="35" t="str">
        <x:v>currency_wars_equipment_155</x:v>
      </x:c>
      <x:c r="C154" s="35" t="str">
        <x:v>精密拆装扳手</x:v>
      </x:c>
      <x:c r="D154" s="35" t="str">
        <x:v>消耗品</x:v>
      </x:c>
      <x:c r="E154" s="35" t="str">
        <x:v>consumable</x:v>
      </x:c>
      <x:c r="F154" s="35" t="str">
        <x:v>否</x:v>
      </x:c>
      <x:c r="G154" s="35" t="str">
        <x:v>否</x:v>
      </x:c>
      <x:c r="H154" s="35" t="str"/>
      <x:c r="I154" s="35" t="str"/>
      <x:c r="J154" s="35" t="str">
        <x:v>assets/currency_wars_equipment_icons/currency_wars_equipment_155.png</x:v>
      </x:c>
      <x:c r="K154" s="35" t="str">
        <x:v>eef0a6e2130743ff0573605b704486f6302e6cd69ce21a34696b29501ee3da40</x:v>
      </x:c>
      <x:c r="L154" s="35" t="str">
        <x:v>eef0a6e2130743ff0573605b704486f6302e6cd69ce21a34696b29501ee3da40</x:v>
      </x:c>
      <x:c r="M154" s="36" t="b">
        <x:v>1</x:v>
      </x:c>
      <x:c r="N154" s="35" t="n">
        <x:f>COUNTIF($L$2:$L$158,L154)</x:f>
        <x:v>1</x:v>
      </x:c>
      <x:c r="O154" s="35" t="str">
        <x:v>155</x:v>
      </x:c>
      <x:c r="P154" s="35" t="str">
        <x:v>精密拆装扳手</x:v>
      </x:c>
      <x:c r="Q154" s="35" t="n">
        <x:v>28657</x:v>
      </x:c>
      <x:c r="R154" s="35" t="n">
        <x:v>128</x:v>
      </x:c>
      <x:c r="S154" s="35" t="n">
        <x:v>128</x:v>
      </x:c>
      <x:c r="T154" s="35" t="str">
        <x:v>https://patchwiki.biligame.com/images/sr/2/27/1r0qt0a4jyq2ijfzgs5evx66mf6h9rb.png</x:v>
      </x:c>
      <x:c r="U154" s="35" t="str">
        <x:v>https://wiki.biligame.com/sr/%E7%B2%BE%E5%AF%86%E6%8B%86%E8%A3%85%E6%89%B3%E6%89%8B</x:v>
      </x:c>
      <x:c r="V154" s="35" t="n">
        <x:v>99085</x:v>
      </x:c>
      <x:c r="W154" s="35" t="n">
        <x:v>200</x:v>
      </x:c>
      <x:c r="X154" s="35" t="str">
        <x:v>eef0a6e2130743ff0573605b704486f6302e6cd69ce21a34696b29501ee3da40</x:v>
      </x:c>
      <x:c r="Y154" s="36" t="b">
        <x:v>1</x:v>
      </x:c>
      <x:c r="Z154" s="36" t="b">
        <x:v>1</x:v>
      </x:c>
      <x:c r="AA154" s="35" t="str">
        <x:v>HTTP 200 反爬占位页</x:v>
      </x:c>
      <x:c r="AB154" s="35" t="str"/>
      <x:c r="AC154" s="35" t="str">
        <x:v>equipment-contact-08.png</x:v>
      </x:c>
      <x:c r="AD154" s="35" t="str">
        <x:v>第3行第3列</x:v>
      </x:c>
      <x:c r="AE154" s="35" t="str">
        <x:v>逐项可见；未见空白、破损、异常裁切或相邻错位</x:v>
      </x:c>
      <x:c r="AF154" s="35" t="str">
        <x:v>本地哈希唯一；未发现图标与名称错位</x:v>
      </x:c>
      <x:c r="AG154" s="35" t="str">
        <x:v>BWIKI oldid=99085+PatchWiki；米游社官方资料仅提供玩法或少量条目补充</x:v>
      </x:c>
      <x:c r="AH154" s="35" t="str">
        <x:v>单条详情页本轮受限流/反爬影响，未获得独立页面实证</x:v>
      </x:c>
      <x:c r="AI154" s="38" t="str">
        <x:f>IF(OR(K154&lt;&gt;L154,M154&lt;&gt;TRUE,Y154&lt;&gt;TRUE,Z154&lt;&gt;TRUE),"冲突",IF(OR(D154="？",D154="？？？"),"分类冲突待确认",IF(N154&gt;1,"图标一致；具体ID不唯一","图标/名称/来源无已发现冲突")))</x:f>
        <x:v>图标/名称/来源无已发现冲突</x:v>
      </x:c>
    </x:row>
    <x:row r="155" ht="38" customHeight="1">
      <x:c r="A155" s="35" t="n">
        <x:v>154</x:v>
      </x:c>
      <x:c r="B155" s="35" t="str">
        <x:v>currency_wars_equipment_156</x:v>
      </x:c>
      <x:c r="C155" s="35" t="str">
        <x:v>特权武装箱</x:v>
      </x:c>
      <x:c r="D155" s="35" t="str">
        <x:v>武装箱</x:v>
      </x:c>
      <x:c r="E155" s="35" t="str">
        <x:v>armament_box</x:v>
      </x:c>
      <x:c r="F155" s="35" t="str">
        <x:v>否</x:v>
      </x:c>
      <x:c r="G155" s="35" t="str">
        <x:v>否</x:v>
      </x:c>
      <x:c r="H155" s="35" t="str"/>
      <x:c r="I155" s="35" t="str"/>
      <x:c r="J155" s="35" t="str">
        <x:v>assets/currency_wars_equipment_icons/currency_wars_equipment_156.png</x:v>
      </x:c>
      <x:c r="K155" s="35" t="str">
        <x:v>711860952e82f3e60ade4dc4c1bab8ca671ad4e6bf29b651240a81ee20041448</x:v>
      </x:c>
      <x:c r="L155" s="35" t="str">
        <x:v>711860952e82f3e60ade4dc4c1bab8ca671ad4e6bf29b651240a81ee20041448</x:v>
      </x:c>
      <x:c r="M155" s="36" t="b">
        <x:v>1</x:v>
      </x:c>
      <x:c r="N155" s="35" t="n">
        <x:f>COUNTIF($L$2:$L$158,L155)</x:f>
        <x:v>1</x:v>
      </x:c>
      <x:c r="O155" s="35" t="str">
        <x:v>156</x:v>
      </x:c>
      <x:c r="P155" s="35" t="str">
        <x:v>特权武装箱</x:v>
      </x:c>
      <x:c r="Q155" s="35" t="n">
        <x:v>66998</x:v>
      </x:c>
      <x:c r="R155" s="35" t="n">
        <x:v>256</x:v>
      </x:c>
      <x:c r="S155" s="35" t="n">
        <x:v>256</x:v>
      </x:c>
      <x:c r="T155" s="35" t="str">
        <x:v>https://patchwiki.biligame.com/images/sr/7/7a/b81pv64eg17eei1fq9zsa03djcryphh.png</x:v>
      </x:c>
      <x:c r="U155" s="35" t="str">
        <x:v>https://wiki.biligame.com/sr/%E7%89%B9%E6%9D%83%E6%AD%A6%E8%A3%85%E7%AE%B1</x:v>
      </x:c>
      <x:c r="V155" s="35" t="n">
        <x:v>99085</x:v>
      </x:c>
      <x:c r="W155" s="35" t="n">
        <x:v>200</x:v>
      </x:c>
      <x:c r="X155" s="35" t="str">
        <x:v>711860952e82f3e60ade4dc4c1bab8ca671ad4e6bf29b651240a81ee20041448</x:v>
      </x:c>
      <x:c r="Y155" s="36" t="b">
        <x:v>1</x:v>
      </x:c>
      <x:c r="Z155" s="36" t="b">
        <x:v>1</x:v>
      </x:c>
      <x:c r="AA155" s="35" t="str">
        <x:v>HTTP 200 反爬占位页</x:v>
      </x:c>
      <x:c r="AB155" s="35" t="str"/>
      <x:c r="AC155" s="35" t="str">
        <x:v>equipment-contact-08.png</x:v>
      </x:c>
      <x:c r="AD155" s="35" t="str">
        <x:v>第3行第4列</x:v>
      </x:c>
      <x:c r="AE155" s="35" t="str">
        <x:v>逐项可见；未见空白、破损、异常裁切或相邻错位</x:v>
      </x:c>
      <x:c r="AF155" s="35" t="str">
        <x:v>本地哈希唯一；未发现图标与名称错位</x:v>
      </x:c>
      <x:c r="AG155" s="35" t="str">
        <x:v>BWIKI oldid=99085+PatchWiki；米游社官方资料仅提供玩法或少量条目补充</x:v>
      </x:c>
      <x:c r="AH155" s="35" t="str">
        <x:v>单条详情页本轮受限流/反爬影响，未获得独立页面实证</x:v>
      </x:c>
      <x:c r="AI155" s="38" t="str">
        <x:f>IF(OR(K155&lt;&gt;L155,M155&lt;&gt;TRUE,Y155&lt;&gt;TRUE,Z155&lt;&gt;TRUE),"冲突",IF(OR(D155="？",D155="？？？"),"分类冲突待确认",IF(N155&gt;1,"图标一致；具体ID不唯一","图标/名称/来源无已发现冲突")))</x:f>
        <x:v>图标/名称/来源无已发现冲突</x:v>
      </x:c>
    </x:row>
    <x:row r="156" ht="38" customHeight="1">
      <x:c r="A156" s="35" t="n">
        <x:v>155</x:v>
      </x:c>
      <x:c r="B156" s="35" t="str">
        <x:v>currency_wars_equipment_157</x:v>
      </x:c>
      <x:c r="C156" s="35" t="str">
        <x:v>简易武装箱</x:v>
      </x:c>
      <x:c r="D156" s="35" t="str">
        <x:v>武装箱</x:v>
      </x:c>
      <x:c r="E156" s="35" t="str">
        <x:v>armament_box</x:v>
      </x:c>
      <x:c r="F156" s="35" t="str">
        <x:v>否</x:v>
      </x:c>
      <x:c r="G156" s="35" t="str">
        <x:v>否</x:v>
      </x:c>
      <x:c r="H156" s="35" t="str"/>
      <x:c r="I156" s="35" t="str"/>
      <x:c r="J156" s="35" t="str">
        <x:v>assets/currency_wars_equipment_icons/currency_wars_equipment_157.png</x:v>
      </x:c>
      <x:c r="K156" s="35" t="str">
        <x:v>a71aaabf88d868e61717a8a8a855a11e9ec2a93cbb19b197f3cd5a113db39d7d</x:v>
      </x:c>
      <x:c r="L156" s="35" t="str">
        <x:v>a71aaabf88d868e61717a8a8a855a11e9ec2a93cbb19b197f3cd5a113db39d7d</x:v>
      </x:c>
      <x:c r="M156" s="36" t="b">
        <x:v>1</x:v>
      </x:c>
      <x:c r="N156" s="35" t="n">
        <x:f>COUNTIF($L$2:$L$158,L156)</x:f>
        <x:v>1</x:v>
      </x:c>
      <x:c r="O156" s="35" t="str">
        <x:v>157</x:v>
      </x:c>
      <x:c r="P156" s="35" t="str">
        <x:v>简易武装箱</x:v>
      </x:c>
      <x:c r="Q156" s="35" t="n">
        <x:v>64322</x:v>
      </x:c>
      <x:c r="R156" s="35" t="n">
        <x:v>256</x:v>
      </x:c>
      <x:c r="S156" s="35" t="n">
        <x:v>256</x:v>
      </x:c>
      <x:c r="T156" s="35" t="str">
        <x:v>https://patchwiki.biligame.com/images/sr/2/25/3j97sn7gxou5qosa2cn6qzpzkpmzweh.png</x:v>
      </x:c>
      <x:c r="U156" s="35" t="str">
        <x:v>https://wiki.biligame.com/sr/%E7%AE%80%E6%98%93%E6%AD%A6%E8%A3%85%E7%AE%B1</x:v>
      </x:c>
      <x:c r="V156" s="35" t="n">
        <x:v>99085</x:v>
      </x:c>
      <x:c r="W156" s="35" t="n">
        <x:v>200</x:v>
      </x:c>
      <x:c r="X156" s="35" t="str">
        <x:v>a71aaabf88d868e61717a8a8a855a11e9ec2a93cbb19b197f3cd5a113db39d7d</x:v>
      </x:c>
      <x:c r="Y156" s="36" t="b">
        <x:v>1</x:v>
      </x:c>
      <x:c r="Z156" s="36" t="b">
        <x:v>1</x:v>
      </x:c>
      <x:c r="AA156" s="35" t="str">
        <x:v>HTTP 200 反爬占位页</x:v>
      </x:c>
      <x:c r="AB156" s="35" t="str"/>
      <x:c r="AC156" s="35" t="str">
        <x:v>equipment-contact-08.png</x:v>
      </x:c>
      <x:c r="AD156" s="35" t="str">
        <x:v>第3行第5列</x:v>
      </x:c>
      <x:c r="AE156" s="35" t="str">
        <x:v>逐项可见；未见空白、破损、异常裁切或相邻错位</x:v>
      </x:c>
      <x:c r="AF156" s="35" t="str">
        <x:v>本地哈希唯一；未发现图标与名称错位</x:v>
      </x:c>
      <x:c r="AG156" s="35" t="str">
        <x:v>BWIKI oldid=99085+PatchWiki；米游社官方资料仅提供玩法或少量条目补充</x:v>
      </x:c>
      <x:c r="AH156" s="35" t="str">
        <x:v>单条详情页本轮受限流/反爬影响，未获得独立页面实证</x:v>
      </x:c>
      <x:c r="AI156" s="38" t="str">
        <x:f>IF(OR(K156&lt;&gt;L156,M156&lt;&gt;TRUE,Y156&lt;&gt;TRUE,Z156&lt;&gt;TRUE),"冲突",IF(OR(D156="？",D156="？？？"),"分类冲突待确认",IF(N156&gt;1,"图标一致；具体ID不唯一","图标/名称/来源无已发现冲突")))</x:f>
        <x:v>图标/名称/来源无已发现冲突</x:v>
      </x:c>
    </x:row>
    <x:row r="157" ht="38" customHeight="1">
      <x:c r="A157" s="35" t="n">
        <x:v>156</x:v>
      </x:c>
      <x:c r="B157" s="35" t="str">
        <x:v>currency_wars_equipment_158</x:v>
      </x:c>
      <x:c r="C157" s="35" t="str">
        <x:v>进阶武装箱</x:v>
      </x:c>
      <x:c r="D157" s="35" t="str">
        <x:v>武装箱</x:v>
      </x:c>
      <x:c r="E157" s="35" t="str">
        <x:v>armament_box</x:v>
      </x:c>
      <x:c r="F157" s="35" t="str">
        <x:v>否</x:v>
      </x:c>
      <x:c r="G157" s="35" t="str">
        <x:v>否</x:v>
      </x:c>
      <x:c r="H157" s="35" t="str"/>
      <x:c r="I157" s="35" t="str"/>
      <x:c r="J157" s="35" t="str">
        <x:v>assets/currency_wars_equipment_icons/currency_wars_equipment_158.png</x:v>
      </x:c>
      <x:c r="K157" s="35" t="str">
        <x:v>9ba802baa6ddbac5a2350d9193e4ca9e989c507bd87610612a1a506e7e1bf1cb</x:v>
      </x:c>
      <x:c r="L157" s="35" t="str">
        <x:v>9ba802baa6ddbac5a2350d9193e4ca9e989c507bd87610612a1a506e7e1bf1cb</x:v>
      </x:c>
      <x:c r="M157" s="36" t="b">
        <x:v>1</x:v>
      </x:c>
      <x:c r="N157" s="35" t="n">
        <x:f>COUNTIF($L$2:$L$158,L157)</x:f>
        <x:v>1</x:v>
      </x:c>
      <x:c r="O157" s="35" t="str">
        <x:v>158</x:v>
      </x:c>
      <x:c r="P157" s="35" t="str">
        <x:v>进阶武装箱</x:v>
      </x:c>
      <x:c r="Q157" s="35" t="n">
        <x:v>73683</x:v>
      </x:c>
      <x:c r="R157" s="35" t="n">
        <x:v>256</x:v>
      </x:c>
      <x:c r="S157" s="35" t="n">
        <x:v>256</x:v>
      </x:c>
      <x:c r="T157" s="35" t="str">
        <x:v>https://patchwiki.biligame.com/images/sr/c/cb/jvtcs2l2xrk58kbxoe7se04ifkxwvpq.png</x:v>
      </x:c>
      <x:c r="U157" s="35" t="str">
        <x:v>https://wiki.biligame.com/sr/%E8%BF%9B%E9%98%B6%E6%AD%A6%E8%A3%85%E7%AE%B1</x:v>
      </x:c>
      <x:c r="V157" s="35" t="n">
        <x:v>99085</x:v>
      </x:c>
      <x:c r="W157" s="35" t="n">
        <x:v>200</x:v>
      </x:c>
      <x:c r="X157" s="35" t="str">
        <x:v>9ba802baa6ddbac5a2350d9193e4ca9e989c507bd87610612a1a506e7e1bf1cb</x:v>
      </x:c>
      <x:c r="Y157" s="36" t="b">
        <x:v>1</x:v>
      </x:c>
      <x:c r="Z157" s="36" t="b">
        <x:v>1</x:v>
      </x:c>
      <x:c r="AA157" s="35" t="str">
        <x:v>HTTP 200 反爬占位页</x:v>
      </x:c>
      <x:c r="AB157" s="35" t="str"/>
      <x:c r="AC157" s="35" t="str">
        <x:v>equipment-contact-08.png</x:v>
      </x:c>
      <x:c r="AD157" s="35" t="str">
        <x:v>第4行第1列</x:v>
      </x:c>
      <x:c r="AE157" s="35" t="str">
        <x:v>逐项可见；未见空白、破损、异常裁切或相邻错位</x:v>
      </x:c>
      <x:c r="AF157" s="35" t="str">
        <x:v>本地哈希唯一；未发现图标与名称错位</x:v>
      </x:c>
      <x:c r="AG157" s="35" t="str">
        <x:v>BWIKI oldid=99085+PatchWiki；米游社官方资料仅提供玩法或少量条目补充</x:v>
      </x:c>
      <x:c r="AH157" s="35" t="str">
        <x:v>单条详情页本轮受限流/反爬影响，未获得独立页面实证</x:v>
      </x:c>
      <x:c r="AI157" s="38" t="str">
        <x:f>IF(OR(K157&lt;&gt;L157,M157&lt;&gt;TRUE,Y157&lt;&gt;TRUE,Z157&lt;&gt;TRUE),"冲突",IF(OR(D157="？",D157="？？？"),"分类冲突待确认",IF(N157&gt;1,"图标一致；具体ID不唯一","图标/名称/来源无已发现冲突")))</x:f>
        <x:v>图标/名称/来源无已发现冲突</x:v>
      </x:c>
    </x:row>
    <x:row r="158" ht="38" customHeight="1">
      <x:c r="A158" s="35" t="n">
        <x:v>157</x:v>
      </x:c>
      <x:c r="B158" s="35" t="str">
        <x:v>currency_wars_equipment_159</x:v>
      </x:c>
      <x:c r="C158" s="35" t="str">
        <x:v>星徽秘典</x:v>
      </x:c>
      <x:c r="D158" s="35" t="str">
        <x:v>特殊道具</x:v>
      </x:c>
      <x:c r="E158" s="35" t="str">
        <x:v>special_item</x:v>
      </x:c>
      <x:c r="F158" s="35" t="str">
        <x:v>否</x:v>
      </x:c>
      <x:c r="G158" s="35" t="str">
        <x:v>否</x:v>
      </x:c>
      <x:c r="H158" s="35" t="str"/>
      <x:c r="I158" s="35" t="str"/>
      <x:c r="J158" s="35" t="str">
        <x:v>assets/currency_wars_equipment_icons/currency_wars_equipment_159.png</x:v>
      </x:c>
      <x:c r="K158" s="35" t="str">
        <x:v>a53c1ec7a89554e14c61ba004aa0b670bc79f14111e74ff11a37cf8ce3396359</x:v>
      </x:c>
      <x:c r="L158" s="35" t="str">
        <x:v>a53c1ec7a89554e14c61ba004aa0b670bc79f14111e74ff11a37cf8ce3396359</x:v>
      </x:c>
      <x:c r="M158" s="36" t="b">
        <x:v>1</x:v>
      </x:c>
      <x:c r="N158" s="35" t="n">
        <x:f>COUNTIF($L$2:$L$158,L158)</x:f>
        <x:v>1</x:v>
      </x:c>
      <x:c r="O158" s="35" t="str">
        <x:v>159</x:v>
      </x:c>
      <x:c r="P158" s="35" t="str">
        <x:v>星徽秘典</x:v>
      </x:c>
      <x:c r="Q158" s="35" t="n">
        <x:v>79028</x:v>
      </x:c>
      <x:c r="R158" s="35" t="n">
        <x:v>256</x:v>
      </x:c>
      <x:c r="S158" s="35" t="n">
        <x:v>256</x:v>
      </x:c>
      <x:c r="T158" s="35" t="str">
        <x:v>https://patchwiki.biligame.com/images/sr/4/4e/26bh0motok3wj2egjzvtzek8qsiis4e.png</x:v>
      </x:c>
      <x:c r="U158" s="35" t="str">
        <x:v>https://wiki.biligame.com/sr/装备一览</x:v>
      </x:c>
      <x:c r="V158" s="35" t="n">
        <x:v>99085</x:v>
      </x:c>
      <x:c r="W158" s="35" t="n">
        <x:v>200</x:v>
      </x:c>
      <x:c r="X158" s="35" t="str">
        <x:v>a53c1ec7a89554e14c61ba004aa0b670bc79f14111e74ff11a37cf8ce3396359</x:v>
      </x:c>
      <x:c r="Y158" s="36" t="b">
        <x:v>1</x:v>
      </x:c>
      <x:c r="Z158" s="36" t="b">
        <x:v>1</x:v>
      </x:c>
      <x:c r="AA158" s="35" t="str">
        <x:v>汇总页URL；单页未验证</x:v>
      </x:c>
      <x:c r="AB158" s="35" t="str"/>
      <x:c r="AC158" s="35" t="str">
        <x:v>equipment-contact-08.png</x:v>
      </x:c>
      <x:c r="AD158" s="35" t="str">
        <x:v>第4行第2列</x:v>
      </x:c>
      <x:c r="AE158" s="35" t="str">
        <x:v>逐项可见；未见空白、破损、异常裁切或相邻错位</x:v>
      </x:c>
      <x:c r="AF158" s="35" t="str">
        <x:v>本地哈希唯一；未发现图标与名称错位</x:v>
      </x:c>
      <x:c r="AG158" s="35" t="str">
        <x:v>BWIKI oldid=99085+PatchWiki；米游社官方资料仅提供玩法或少量条目补充</x:v>
      </x:c>
      <x:c r="AH158" s="35" t="str">
        <x:v>筛选表外补入；无独立BWIKI详情页，来源页指向总表</x:v>
      </x:c>
      <x:c r="AI158" s="38" t="str">
        <x:f>IF(OR(K158&lt;&gt;L158,M158&lt;&gt;TRUE,Y158&lt;&gt;TRUE,Z158&lt;&gt;TRUE),"冲突",IF(OR(D158="？",D158="？？？"),"分类冲突待确认",IF(N158&gt;1,"图标一致；具体ID不唯一","图标/名称/来源无已发现冲突")))</x:f>
        <x:v>图标/名称/来源无已发现冲突</x:v>
      </x:c>
    </x:row>
  </x:sheetData>
  <x:pageMargins left="0.7" right="0.7" top="0.75" bottom="0.75" header="0.3" footer="0.3"/>
  <x:tableParts count="1">
    <x:tablePart xmlns:r="http://schemas.openxmlformats.org/officeDocument/2006/relationships" r:id="R7f0930beaf25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10" hidden="0" customWidth="1"/>
    <x:col min="4" max="4" width="35" hidden="0" customWidth="1"/>
    <x:col min="5" max="5" width="35" hidden="0" customWidth="1"/>
    <x:col min="6" max="6" width="35" hidden="0" customWidth="1"/>
    <x:col min="7" max="7" width="46" hidden="0" customWidth="1"/>
    <x:col min="8" max="8" width="46" hidden="0" customWidth="1"/>
    <x:col min="9" max="9" width="46" hidden="0" customWidth="1"/>
  </x:cols>
  <x:sheetData>
    <x:row r="1">
      <x:c r="A1" s="35" t="str">
        <x:v>簇序号</x:v>
      </x:c>
      <x:c r="B1" s="35" t="str">
        <x:v>图标SHA256</x:v>
      </x:c>
      <x:c r="C1" s="35" t="str">
        <x:v>成员数</x:v>
      </x:c>
      <x:c r="D1" s="35" t="str">
        <x:v>本地IDs</x:v>
      </x:c>
      <x:c r="E1" s="35" t="str">
        <x:v>中文名称</x:v>
      </x:c>
      <x:c r="F1" s="35" t="str">
        <x:v>运行分类</x:v>
      </x:c>
      <x:c r="G1" s="35" t="str">
        <x:v>关系</x:v>
      </x:c>
      <x:c r="H1" s="35" t="str">
        <x:v>视觉核对</x:v>
      </x:c>
      <x:c r="I1" s="35" t="str">
        <x:v>识别/存储风险</x:v>
      </x:c>
    </x:row>
    <x:row r="2" ht="42" customHeight="1">
      <x:c r="A2" s="35" t="n">
        <x:v>1</x:v>
      </x:c>
      <x:c r="B2" s="35" t="str">
        <x:v>9c8bafb41cc081b61811196ad180dce749b04c54725fde5d09a3ab0766741780</x:v>
      </x:c>
      <x:c r="C2" s="35" t="n">
        <x:v>3</x:v>
      </x:c>
      <x:c r="D2" s="35" t="str">
        <x:v>002；003；013</x:v>
      </x:c>
      <x:c r="E2" s="35" t="str">
        <x:v>分裂•圣杯；圣杯；诅咒•圣杯</x:v>
      </x:c>
      <x:c r="F2" s="35" t="str">
        <x:v>fate_component</x:v>
      </x:c>
      <x:c r="G2" s="35" t="str">
        <x:v>命运改件普通/极/诅咒/分裂变体共享</x:v>
      </x:c>
      <x:c r="H2" s="35" t="str">
        <x:v>名称核心一致；无跨核心错配</x:v>
      </x:c>
      <x:c r="I2" s="35" t="str">
        <x:v>图标不能唯一确定具体ID；保留全部CandidateIds并禁止驱动具体ID决策</x:v>
      </x:c>
    </x:row>
    <x:row r="3" ht="42" customHeight="1">
      <x:c r="A3" s="35" t="n">
        <x:v>2</x:v>
      </x:c>
      <x:c r="B3" s="35" t="str">
        <x:v>cc6f1dc7a6bca0646026af6139c43c658e6182fbd686040f58dcd24de89d2963</x:v>
      </x:c>
      <x:c r="C3" s="35" t="n">
        <x:v>3</x:v>
      </x:c>
      <x:c r="D3" s="35" t="str">
        <x:v>004；007；014</x:v>
      </x:c>
      <x:c r="E3" s="35" t="str">
        <x:v>天地乖离开辟之星；极•天地乖离开辟之星；诅咒•天地乖离开辟之星</x:v>
      </x:c>
      <x:c r="F3" s="35" t="str">
        <x:v>fate_component</x:v>
      </x:c>
      <x:c r="G3" s="35" t="str">
        <x:v>命运改件普通/极/诅咒/分裂变体共享</x:v>
      </x:c>
      <x:c r="H3" s="35" t="str">
        <x:v>名称核心一致；无跨核心错配</x:v>
      </x:c>
      <x:c r="I3" s="35" t="str">
        <x:v>图标不能唯一确定具体ID；保留全部CandidateIds并禁止驱动具体ID决策</x:v>
      </x:c>
    </x:row>
    <x:row r="4" ht="42" customHeight="1">
      <x:c r="A4" s="35" t="n">
        <x:v>3</x:v>
      </x:c>
      <x:c r="B4" s="35" t="str">
        <x:v>01b3a550d1ab3f78d27ba856e15c50a3c05c399f9a281ae4ad7352dced994f0f</x:v>
      </x:c>
      <x:c r="C4" s="35" t="n">
        <x:v>3</x:v>
      </x:c>
      <x:c r="D4" s="35" t="str">
        <x:v>005；008；015</x:v>
      </x:c>
      <x:c r="E4" s="35" t="str">
        <x:v>宝石剑泽尔里奇；极•宝石剑泽尔里奇；诅咒•宝石剑泽尔里奇</x:v>
      </x:c>
      <x:c r="F4" s="35" t="str">
        <x:v>fate_component</x:v>
      </x:c>
      <x:c r="G4" s="35" t="str">
        <x:v>命运改件普通/极/诅咒/分裂变体共享</x:v>
      </x:c>
      <x:c r="H4" s="35" t="str">
        <x:v>名称核心一致；无跨核心错配</x:v>
      </x:c>
      <x:c r="I4" s="35" t="str">
        <x:v>图标不能唯一确定具体ID；保留全部CandidateIds并禁止驱动具体ID决策</x:v>
      </x:c>
    </x:row>
    <x:row r="5" ht="42" customHeight="1">
      <x:c r="A5" s="35" t="n">
        <x:v>4</x:v>
      </x:c>
      <x:c r="B5" s="35" t="str">
        <x:v>8acf2cd30d8767f494c80a77d6b34df19bde721eddcbdddfcf4002161122e1ca</x:v>
      </x:c>
      <x:c r="C5" s="35" t="n">
        <x:v>3</x:v>
      </x:c>
      <x:c r="D5" s="35" t="str">
        <x:v>006；009；016</x:v>
      </x:c>
      <x:c r="E5" s="35" t="str">
        <x:v>干将莫邪；极•干将莫邪；诅咒•干将莫邪</x:v>
      </x:c>
      <x:c r="F5" s="35" t="str">
        <x:v>fate_component</x:v>
      </x:c>
      <x:c r="G5" s="35" t="str">
        <x:v>命运改件普通/极/诅咒/分裂变体共享</x:v>
      </x:c>
      <x:c r="H5" s="35" t="str">
        <x:v>名称核心一致；无跨核心错配</x:v>
      </x:c>
      <x:c r="I5" s="35" t="str">
        <x:v>图标不能唯一确定具体ID；保留全部CandidateIds并禁止驱动具体ID决策</x:v>
      </x:c>
    </x:row>
    <x:row r="6" ht="42" customHeight="1">
      <x:c r="A6" s="35" t="n">
        <x:v>5</x:v>
      </x:c>
      <x:c r="B6" s="35" t="str">
        <x:v>f3bed270b62a20ee5b4fd20767f8490872a12d701bdbd3f86783fbdf0128fb20</x:v>
      </x:c>
      <x:c r="C6" s="35" t="n">
        <x:v>3</x:v>
      </x:c>
      <x:c r="D6" s="35" t="str">
        <x:v>010；017；020</x:v>
      </x:c>
      <x:c r="E6" s="35" t="str">
        <x:v>极•阿瓦隆；诅咒•阿瓦隆；阿瓦隆</x:v>
      </x:c>
      <x:c r="F6" s="35" t="str">
        <x:v>fate_component</x:v>
      </x:c>
      <x:c r="G6" s="35" t="str">
        <x:v>命运改件普通/极/诅咒/分裂变体共享</x:v>
      </x:c>
      <x:c r="H6" s="35" t="str">
        <x:v>名称核心一致；无跨核心错配</x:v>
      </x:c>
      <x:c r="I6" s="35" t="str">
        <x:v>图标不能唯一确定具体ID；保留全部CandidateIds并禁止驱动具体ID决策</x:v>
      </x:c>
    </x:row>
    <x:row r="7" ht="42" customHeight="1">
      <x:c r="A7" s="35" t="n">
        <x:v>6</x:v>
      </x:c>
      <x:c r="B7" s="35" t="str">
        <x:v>f0441e17ce30349f9454dc72c5730e631a70843499c9b1692d410783a8b914ea</x:v>
      </x:c>
      <x:c r="C7" s="35" t="n">
        <x:v>2</x:v>
      </x:c>
      <x:c r="D7" s="35" t="str">
        <x:v>022；023</x:v>
      </x:c>
      <x:c r="E7" s="35" t="str">
        <x:v>分身墨镜；分身墨镜Max</x:v>
      </x:c>
      <x:c r="F7" s="35" t="str">
        <x:v>hacking_component</x:v>
      </x:c>
      <x:c r="G7" s="35" t="str">
        <x:v>骇客改件普通/Max/Pro变体共享</x:v>
      </x:c>
      <x:c r="H7" s="35" t="str">
        <x:v>名称核心一致；无跨核心错配</x:v>
      </x:c>
      <x:c r="I7" s="35" t="str">
        <x:v>图标不能唯一确定具体ID；保留全部CandidateIds并禁止驱动具体ID决策</x:v>
      </x:c>
    </x:row>
    <x:row r="8" ht="42" customHeight="1">
      <x:c r="A8" s="35" t="n">
        <x:v>7</x:v>
      </x:c>
      <x:c r="B8" s="35" t="str">
        <x:v>a1cb19ac93cdcdefe2cf4d4f98e32770f1b60e047b33a25e9e2daee54912419c</x:v>
      </x:c>
      <x:c r="C8" s="35" t="n">
        <x:v>3</x:v>
      </x:c>
      <x:c r="D8" s="35" t="str">
        <x:v>024；025；026</x:v>
      </x:c>
      <x:c r="E8" s="35" t="str">
        <x:v>扑满病毒；扑满病毒Max；扑满病毒Pro</x:v>
      </x:c>
      <x:c r="F8" s="35" t="str">
        <x:v>hacking_component</x:v>
      </x:c>
      <x:c r="G8" s="35" t="str">
        <x:v>骇客改件普通/Max/Pro变体共享</x:v>
      </x:c>
      <x:c r="H8" s="35" t="str">
        <x:v>名称核心一致；无跨核心错配</x:v>
      </x:c>
      <x:c r="I8" s="35" t="str">
        <x:v>图标不能唯一确定具体ID；保留全部CandidateIds并禁止驱动具体ID决策</x:v>
      </x:c>
    </x:row>
    <x:row r="9" ht="42" customHeight="1">
      <x:c r="A9" s="35" t="n">
        <x:v>8</x:v>
      </x:c>
      <x:c r="B9" s="35" t="str">
        <x:v>9ef6d5af3970dd9023021ac532d72a3a1a3c57b97507a99b432677be3635b4af</x:v>
      </x:c>
      <x:c r="C9" s="35" t="n">
        <x:v>3</x:v>
      </x:c>
      <x:c r="D9" s="35" t="str">
        <x:v>027；028；029</x:v>
      </x:c>
      <x:c r="E9" s="35" t="str">
        <x:v>数据拷贝仪；数据拷贝仪Max；数据拷贝仪Pro</x:v>
      </x:c>
      <x:c r="F9" s="35" t="str">
        <x:v>hacking_component</x:v>
      </x:c>
      <x:c r="G9" s="35" t="str">
        <x:v>骇客改件普通/Max/Pro变体共享</x:v>
      </x:c>
      <x:c r="H9" s="35" t="str">
        <x:v>名称核心一致；无跨核心错配</x:v>
      </x:c>
      <x:c r="I9" s="35" t="str">
        <x:v>图标不能唯一确定具体ID；保留全部CandidateIds并禁止驱动具体ID决策</x:v>
      </x:c>
    </x:row>
    <x:row r="10" ht="42" customHeight="1">
      <x:c r="A10" s="35" t="n">
        <x:v>9</x:v>
      </x:c>
      <x:c r="B10" s="35" t="str">
        <x:v>5e7cfa755e8919353448b176967365876c4748dca06fd6c1e0ae66e899032788</x:v>
      </x:c>
      <x:c r="C10" s="35" t="n">
        <x:v>2</x:v>
      </x:c>
      <x:c r="D10" s="35" t="str">
        <x:v>030；031</x:v>
      </x:c>
      <x:c r="E10" s="35" t="str">
        <x:v>星核猎手卡带；星核猎手卡带Max</x:v>
      </x:c>
      <x:c r="F10" s="35" t="str">
        <x:v>hacking_component</x:v>
      </x:c>
      <x:c r="G10" s="35" t="str">
        <x:v>骇客改件普通/Max/Pro变体共享</x:v>
      </x:c>
      <x:c r="H10" s="35" t="str">
        <x:v>名称核心一致；无跨核心错配</x:v>
      </x:c>
      <x:c r="I10" s="35" t="str">
        <x:v>图标不能唯一确定具体ID；保留全部CandidateIds并禁止驱动具体ID决策</x:v>
      </x:c>
    </x:row>
    <x:row r="11" ht="42" customHeight="1">
      <x:c r="A11" s="35" t="n">
        <x:v>10</x:v>
      </x:c>
      <x:c r="B11" s="35" t="str">
        <x:v>41bf730530558f7ffe3c31adc6c4aeca06ab97bc495b8e372d7482642fbb4c53</x:v>
      </x:c>
      <x:c r="C11" s="35" t="n">
        <x:v>2</x:v>
      </x:c>
      <x:c r="D11" s="35" t="str">
        <x:v>032；033</x:v>
      </x:c>
      <x:c r="E11" s="35" t="str">
        <x:v>欢愉卡带；欢愉卡带Max</x:v>
      </x:c>
      <x:c r="F11" s="35" t="str">
        <x:v>hacking_component</x:v>
      </x:c>
      <x:c r="G11" s="35" t="str">
        <x:v>骇客改件普通/Max/Pro变体共享</x:v>
      </x:c>
      <x:c r="H11" s="35" t="str">
        <x:v>名称核心一致；无跨核心错配</x:v>
      </x:c>
      <x:c r="I11" s="35" t="str">
        <x:v>图标不能唯一确定具体ID；保留全部CandidateIds并禁止驱动具体ID决策</x:v>
      </x:c>
    </x:row>
    <x:row r="12" ht="42" customHeight="1">
      <x:c r="A12" s="35" t="n">
        <x:v>11</x:v>
      </x:c>
      <x:c r="B12" s="35" t="str">
        <x:v>0dff01418203ef0b8953f58ea464daa675e1f7dcf15d3e8f7a1862dea70d1d07</x:v>
      </x:c>
      <x:c r="C12" s="35" t="n">
        <x:v>2</x:v>
      </x:c>
      <x:c r="D12" s="35" t="str">
        <x:v>034；035</x:v>
      </x:c>
      <x:c r="E12" s="35" t="str">
        <x:v>病毒防火墙；病毒防火墙Max</x:v>
      </x:c>
      <x:c r="F12" s="35" t="str">
        <x:v>hacking_component</x:v>
      </x:c>
      <x:c r="G12" s="35" t="str">
        <x:v>骇客改件普通/Max/Pro变体共享</x:v>
      </x:c>
      <x:c r="H12" s="35" t="str">
        <x:v>名称核心一致；无跨核心错配</x:v>
      </x:c>
      <x:c r="I12" s="35" t="str">
        <x:v>图标不能唯一确定具体ID；保留全部CandidateIds并禁止驱动具体ID决策</x:v>
      </x:c>
    </x:row>
    <x:row r="13" ht="42" customHeight="1">
      <x:c r="A13" s="35" t="n">
        <x:v>12</x:v>
      </x:c>
      <x:c r="B13" s="35" t="str">
        <x:v>0111479a0ccb4585ccb931acbaab0e9771877936a5ce7ae10850242a446e0cb9</x:v>
      </x:c>
      <x:c r="C13" s="35" t="n">
        <x:v>2</x:v>
      </x:c>
      <x:c r="D13" s="35" t="str">
        <x:v>048；087</x:v>
      </x:c>
      <x:c r="E13" s="35" t="str">
        <x:v>以牙还牙甲；以牙还牙甲•特权</x:v>
      </x:c>
      <x:c r="F13" s="35" t="str">
        <x:v>advanced；privileged</x:v>
      </x:c>
      <x:c r="G13" s="35" t="str">
        <x:v>进阶/特权同核心装备共享</x:v>
      </x:c>
      <x:c r="H13" s="35" t="str">
        <x:v>名称核心一致；无跨核心错配</x:v>
      </x:c>
      <x:c r="I13" s="35" t="str">
        <x:v>图标不能唯一确定具体ID；保留全部CandidateIds并禁止驱动具体ID决策</x:v>
      </x:c>
    </x:row>
    <x:row r="14" ht="42" customHeight="1">
      <x:c r="A14" s="35" t="n">
        <x:v>13</x:v>
      </x:c>
      <x:c r="B14" s="35" t="str">
        <x:v>56bea7098d3578a24612068268e277f53e143b1aa23ac0d32df8afadca76c09e</x:v>
      </x:c>
      <x:c r="C14" s="35" t="n">
        <x:v>2</x:v>
      </x:c>
      <x:c r="D14" s="35" t="str">
        <x:v>049；088</x:v>
      </x:c>
      <x:c r="E14" s="35" t="str">
        <x:v>信心注入器；信心注入器•特权</x:v>
      </x:c>
      <x:c r="F14" s="35" t="str">
        <x:v>advanced；privileged</x:v>
      </x:c>
      <x:c r="G14" s="35" t="str">
        <x:v>进阶/特权同核心装备共享</x:v>
      </x:c>
      <x:c r="H14" s="35" t="str">
        <x:v>名称核心一致；无跨核心错配</x:v>
      </x:c>
      <x:c r="I14" s="35" t="str">
        <x:v>图标不能唯一确定具体ID；保留全部CandidateIds并禁止驱动具体ID决策</x:v>
      </x:c>
    </x:row>
    <x:row r="15" ht="42" customHeight="1">
      <x:c r="A15" s="35" t="n">
        <x:v>14</x:v>
      </x:c>
      <x:c r="B15" s="35" t="str">
        <x:v>4c7f19fa94a7b2845a067e086a52874e66cd3f35ffb3533a14b142dd475fb782</x:v>
      </x:c>
      <x:c r="C15" s="35" t="n">
        <x:v>2</x:v>
      </x:c>
      <x:c r="D15" s="35" t="str">
        <x:v>050；089</x:v>
      </x:c>
      <x:c r="E15" s="35" t="str">
        <x:v>光能盾牌；光能盾牌•特权</x:v>
      </x:c>
      <x:c r="F15" s="35" t="str">
        <x:v>advanced；privileged</x:v>
      </x:c>
      <x:c r="G15" s="35" t="str">
        <x:v>进阶/特权同核心装备共享</x:v>
      </x:c>
      <x:c r="H15" s="35" t="str">
        <x:v>名称核心一致；无跨核心错配</x:v>
      </x:c>
      <x:c r="I15" s="35" t="str">
        <x:v>图标不能唯一确定具体ID；保留全部CandidateIds并禁止驱动具体ID决策</x:v>
      </x:c>
    </x:row>
    <x:row r="16" ht="42" customHeight="1">
      <x:c r="A16" s="35" t="n">
        <x:v>15</x:v>
      </x:c>
      <x:c r="B16" s="35" t="str">
        <x:v>e6a8adcd7331b1036186a76b3190cd5746b58d89e84e5a6aa07a25860b760eb2</x:v>
      </x:c>
      <x:c r="C16" s="35" t="n">
        <x:v>4</x:v>
      </x:c>
      <x:c r="D16" s="35" t="str">
        <x:v>051；090；143；146</x:v>
      </x:c>
      <x:c r="E16" s="35" t="str">
        <x:v>光速螺旋桨；光速螺旋桨•特权；极•白昼•光速螺旋桨；白昼•光速螺旋桨</x:v>
      </x:c>
      <x:c r="F16" s="35" t="str">
        <x:v>advanced；privileged；bond_equipment</x:v>
      </x:c>
      <x:c r="G16" s="35" t="str">
        <x:v>进阶/特权与同核心白昼羁绊版本共享</x:v>
      </x:c>
      <x:c r="H16" s="35" t="str">
        <x:v>名称核心一致；无跨核心错配</x:v>
      </x:c>
      <x:c r="I16" s="35" t="str">
        <x:v>图标不能唯一确定具体ID；保留全部CandidateIds并禁止驱动具体ID决策</x:v>
      </x:c>
    </x:row>
    <x:row r="17" ht="42" customHeight="1">
      <x:c r="A17" s="35" t="n">
        <x:v>16</x:v>
      </x:c>
      <x:c r="B17" s="35" t="str">
        <x:v>8558d839f989cfece0189ce7007c88f6deb48c685f9cfb48fa717f2e85273cc9</x:v>
      </x:c>
      <x:c r="C17" s="35" t="n">
        <x:v>2</x:v>
      </x:c>
      <x:c r="D17" s="35" t="str">
        <x:v>052；091</x:v>
      </x:c>
      <x:c r="E17" s="35" t="str">
        <x:v>冷笑话引擎；冷笑话引擎•特权</x:v>
      </x:c>
      <x:c r="F17" s="35" t="str">
        <x:v>advanced；privileged</x:v>
      </x:c>
      <x:c r="G17" s="35" t="str">
        <x:v>进阶/特权同核心装备共享</x:v>
      </x:c>
      <x:c r="H17" s="35" t="str">
        <x:v>名称核心一致；无跨核心错配</x:v>
      </x:c>
      <x:c r="I17" s="35" t="str">
        <x:v>图标不能唯一确定具体ID；保留全部CandidateIds并禁止驱动具体ID决策</x:v>
      </x:c>
    </x:row>
    <x:row r="18" ht="42" customHeight="1">
      <x:c r="A18" s="35" t="n">
        <x:v>17</x:v>
      </x:c>
      <x:c r="B18" s="35" t="str">
        <x:v>359b80002377cf9ecec3020db298d7dd3210dd5a6041da94304099da2f042d58</x:v>
      </x:c>
      <x:c r="C18" s="35" t="n">
        <x:v>2</x:v>
      </x:c>
      <x:c r="D18" s="35" t="str">
        <x:v>053；092</x:v>
      </x:c>
      <x:c r="E18" s="35" t="str">
        <x:v>动能激发剑；动能激发剑•特权</x:v>
      </x:c>
      <x:c r="F18" s="35" t="str">
        <x:v>advanced；privileged</x:v>
      </x:c>
      <x:c r="G18" s="35" t="str">
        <x:v>进阶/特权同核心装备共享</x:v>
      </x:c>
      <x:c r="H18" s="35" t="str">
        <x:v>名称核心一致；无跨核心错配</x:v>
      </x:c>
      <x:c r="I18" s="35" t="str">
        <x:v>图标不能唯一确定具体ID；保留全部CandidateIds并禁止驱动具体ID决策</x:v>
      </x:c>
    </x:row>
    <x:row r="19" ht="42" customHeight="1">
      <x:c r="A19" s="35" t="n">
        <x:v>18</x:v>
      </x:c>
      <x:c r="B19" s="35" t="str">
        <x:v>d56460779d29bc6f8e2169276f523f28c6e341ce95aa0905c903bd5e8cf415f5</x:v>
      </x:c>
      <x:c r="C19" s="35" t="n">
        <x:v>2</x:v>
      </x:c>
      <x:c r="D19" s="35" t="str">
        <x:v>054；093</x:v>
      </x:c>
      <x:c r="E19" s="35" t="str">
        <x:v>反卫星狙击枪；反卫星狙击枪•特权</x:v>
      </x:c>
      <x:c r="F19" s="35" t="str">
        <x:v>advanced；privileged</x:v>
      </x:c>
      <x:c r="G19" s="35" t="str">
        <x:v>进阶/特权同核心装备共享</x:v>
      </x:c>
      <x:c r="H19" s="35" t="str">
        <x:v>名称核心一致；无跨核心错配</x:v>
      </x:c>
      <x:c r="I19" s="35" t="str">
        <x:v>图标不能唯一确定具体ID；保留全部CandidateIds并禁止驱动具体ID决策</x:v>
      </x:c>
    </x:row>
    <x:row r="20" ht="42" customHeight="1">
      <x:c r="A20" s="35" t="n">
        <x:v>19</x:v>
      </x:c>
      <x:c r="B20" s="35" t="str">
        <x:v>4ed72ae50d0fe4badc8ed4aa14681ede39657bbc080e4bc89bc2d18d90f145a3</x:v>
      </x:c>
      <x:c r="C20" s="35" t="n">
        <x:v>2</x:v>
      </x:c>
      <x:c r="D20" s="35" t="str">
        <x:v>055；094</x:v>
      </x:c>
      <x:c r="E20" s="35" t="str">
        <x:v>反重力皮靴；反重力皮靴•特权</x:v>
      </x:c>
      <x:c r="F20" s="35" t="str">
        <x:v>advanced；privileged</x:v>
      </x:c>
      <x:c r="G20" s="35" t="str">
        <x:v>进阶/特权同核心装备共享</x:v>
      </x:c>
      <x:c r="H20" s="35" t="str">
        <x:v>名称核心一致；无跨核心错配</x:v>
      </x:c>
      <x:c r="I20" s="35" t="str">
        <x:v>图标不能唯一确定具体ID；保留全部CandidateIds并禁止驱动具体ID决策</x:v>
      </x:c>
    </x:row>
    <x:row r="21" ht="42" customHeight="1">
      <x:c r="A21" s="35" t="n">
        <x:v>20</x:v>
      </x:c>
      <x:c r="B21" s="35" t="str">
        <x:v>99b3abc3f7a8173db5accad10cbc62cf4dce5ea3fec2ed23e2d5f8f57c3ec898</x:v>
      </x:c>
      <x:c r="C21" s="35" t="n">
        <x:v>2</x:v>
      </x:c>
      <x:c r="D21" s="35" t="str">
        <x:v>056；095</x:v>
      </x:c>
      <x:c r="E21" s="35" t="str">
        <x:v>天基轨道炮；天基轨道炮•特权</x:v>
      </x:c>
      <x:c r="F21" s="35" t="str">
        <x:v>advanced；privileged</x:v>
      </x:c>
      <x:c r="G21" s="35" t="str">
        <x:v>进阶/特权同核心装备共享</x:v>
      </x:c>
      <x:c r="H21" s="35" t="str">
        <x:v>名称核心一致；无跨核心错配</x:v>
      </x:c>
      <x:c r="I21" s="35" t="str">
        <x:v>图标不能唯一确定具体ID；保留全部CandidateIds并禁止驱动具体ID决策</x:v>
      </x:c>
    </x:row>
    <x:row r="22" ht="42" customHeight="1">
      <x:c r="A22" s="35" t="n">
        <x:v>21</x:v>
      </x:c>
      <x:c r="B22" s="35" t="str">
        <x:v>fe7118a0d80b31261cc4d653850bc491820b4c1be3ba1dedf59a73cdf8eb8618</x:v>
      </x:c>
      <x:c r="C22" s="35" t="n">
        <x:v>2</x:v>
      </x:c>
      <x:c r="D22" s="35" t="str">
        <x:v>057；096</x:v>
      </x:c>
      <x:c r="E22" s="35" t="str">
        <x:v>很硬的甲；很硬的甲•特权</x:v>
      </x:c>
      <x:c r="F22" s="35" t="str">
        <x:v>advanced；privileged</x:v>
      </x:c>
      <x:c r="G22" s="35" t="str">
        <x:v>进阶/特权同核心装备共享</x:v>
      </x:c>
      <x:c r="H22" s="35" t="str">
        <x:v>名称核心一致；无跨核心错配</x:v>
      </x:c>
      <x:c r="I22" s="35" t="str">
        <x:v>图标不能唯一确定具体ID；保留全部CandidateIds并禁止驱动具体ID决策</x:v>
      </x:c>
    </x:row>
    <x:row r="23" ht="42" customHeight="1">
      <x:c r="A23" s="35" t="n">
        <x:v>22</x:v>
      </x:c>
      <x:c r="B23" s="35" t="str">
        <x:v>ceb9c15bd35a9524343fec674b485fc4c2695d6bc659a7a2ec311d65e9c4e78e</x:v>
      </x:c>
      <x:c r="C23" s="35" t="n">
        <x:v>2</x:v>
      </x:c>
      <x:c r="D23" s="35" t="str">
        <x:v>058；097</x:v>
      </x:c>
      <x:c r="E23" s="35" t="str">
        <x:v>战场进化手册；战场进化手册•特权</x:v>
      </x:c>
      <x:c r="F23" s="35" t="str">
        <x:v>advanced；privileged</x:v>
      </x:c>
      <x:c r="G23" s="35" t="str">
        <x:v>进阶/特权同核心装备共享</x:v>
      </x:c>
      <x:c r="H23" s="35" t="str">
        <x:v>名称核心一致；无跨核心错配</x:v>
      </x:c>
      <x:c r="I23" s="35" t="str">
        <x:v>图标不能唯一确定具体ID；保留全部CandidateIds并禁止驱动具体ID决策</x:v>
      </x:c>
    </x:row>
    <x:row r="24" ht="42" customHeight="1">
      <x:c r="A24" s="35" t="n">
        <x:v>23</x:v>
      </x:c>
      <x:c r="B24" s="35" t="str">
        <x:v>141d508a6fdef1b32355695aae4ce660ce2ab31ddd97f7a353192992fc7b6c83</x:v>
      </x:c>
      <x:c r="C24" s="35" t="n">
        <x:v>2</x:v>
      </x:c>
      <x:c r="D24" s="35" t="str">
        <x:v>059；098</x:v>
      </x:c>
      <x:c r="E24" s="35" t="str">
        <x:v>掩体生成枪；掩体生成枪•特权</x:v>
      </x:c>
      <x:c r="F24" s="35" t="str">
        <x:v>advanced；privileged</x:v>
      </x:c>
      <x:c r="G24" s="35" t="str">
        <x:v>进阶/特权同核心装备共享</x:v>
      </x:c>
      <x:c r="H24" s="35" t="str">
        <x:v>名称核心一致；无跨核心错配</x:v>
      </x:c>
      <x:c r="I24" s="35" t="str">
        <x:v>图标不能唯一确定具体ID；保留全部CandidateIds并禁止驱动具体ID决策</x:v>
      </x:c>
    </x:row>
    <x:row r="25" ht="42" customHeight="1">
      <x:c r="A25" s="35" t="n">
        <x:v>24</x:v>
      </x:c>
      <x:c r="B25" s="35" t="str">
        <x:v>b0adf69dddd5d0a23fdd0fea212c0b83a830ed01a268fbdddcc3f9825bfbc7a5</x:v>
      </x:c>
      <x:c r="C25" s="35" t="n">
        <x:v>4</x:v>
      </x:c>
      <x:c r="D25" s="35" t="str">
        <x:v>060；099；144；147</x:v>
      </x:c>
      <x:c r="E25" s="35" t="str">
        <x:v>斩首行动；斩首行动•特权；极•白昼•斩首行动；白昼•斩首行动</x:v>
      </x:c>
      <x:c r="F25" s="35" t="str">
        <x:v>advanced；privileged；bond_equipment</x:v>
      </x:c>
      <x:c r="G25" s="35" t="str">
        <x:v>进阶/特权与同核心白昼羁绊版本共享</x:v>
      </x:c>
      <x:c r="H25" s="35" t="str">
        <x:v>名称核心一致；无跨核心错配</x:v>
      </x:c>
      <x:c r="I25" s="35" t="str">
        <x:v>图标不能唯一确定具体ID；保留全部CandidateIds并禁止驱动具体ID决策</x:v>
      </x:c>
    </x:row>
    <x:row r="26" ht="42" customHeight="1">
      <x:c r="A26" s="35" t="n">
        <x:v>25</x:v>
      </x:c>
      <x:c r="B26" s="35" t="str">
        <x:v>f521d20bc46c8e46893fa4ebed01e15fdc6732e627607eaaf062680cad852b7b</x:v>
      </x:c>
      <x:c r="C26" s="35" t="n">
        <x:v>2</x:v>
      </x:c>
      <x:c r="D26" s="35" t="str">
        <x:v>061；100</x:v>
      </x:c>
      <x:c r="E26" s="35" t="str">
        <x:v>杀红眼；杀红眼•特权</x:v>
      </x:c>
      <x:c r="F26" s="35" t="str">
        <x:v>advanced；privileged</x:v>
      </x:c>
      <x:c r="G26" s="35" t="str">
        <x:v>进阶/特权同核心装备共享</x:v>
      </x:c>
      <x:c r="H26" s="35" t="str">
        <x:v>名称核心一致；无跨核心错配</x:v>
      </x:c>
      <x:c r="I26" s="35" t="str">
        <x:v>图标不能唯一确定具体ID；保留全部CandidateIds并禁止驱动具体ID决策</x:v>
      </x:c>
    </x:row>
    <x:row r="27" ht="42" customHeight="1">
      <x:c r="A27" s="35" t="n">
        <x:v>26</x:v>
      </x:c>
      <x:c r="B27" s="35" t="str">
        <x:v>4c8eae7c74f190fa5c1fd125f6edcf48bf821f2363f91e4ab6774e0fbb20b8b7</x:v>
      </x:c>
      <x:c r="C27" s="35" t="n">
        <x:v>2</x:v>
      </x:c>
      <x:c r="D27" s="35" t="str">
        <x:v>062；101</x:v>
      </x:c>
      <x:c r="E27" s="35" t="str">
        <x:v>步步生花；步步生花•特权</x:v>
      </x:c>
      <x:c r="F27" s="35" t="str">
        <x:v>advanced；privileged</x:v>
      </x:c>
      <x:c r="G27" s="35" t="str">
        <x:v>进阶/特权同核心装备共享</x:v>
      </x:c>
      <x:c r="H27" s="35" t="str">
        <x:v>名称核心一致；无跨核心错配</x:v>
      </x:c>
      <x:c r="I27" s="35" t="str">
        <x:v>图标不能唯一确定具体ID；保留全部CandidateIds并禁止驱动具体ID决策</x:v>
      </x:c>
    </x:row>
    <x:row r="28" ht="42" customHeight="1">
      <x:c r="A28" s="35" t="n">
        <x:v>27</x:v>
      </x:c>
      <x:c r="B28" s="35" t="str">
        <x:v>93348c2a315f9c98e8161bda98add1b8f30ca312fd1ca69d1b26d466f4dfcc06</x:v>
      </x:c>
      <x:c r="C28" s="35" t="n">
        <x:v>4</x:v>
      </x:c>
      <x:c r="D28" s="35" t="str">
        <x:v>063；102；145；148</x:v>
      </x:c>
      <x:c r="E28" s="35" t="str">
        <x:v>武器大师；武器大师•特权；极•白昼•武器大师；白昼•武器大师</x:v>
      </x:c>
      <x:c r="F28" s="35" t="str">
        <x:v>advanced；privileged；bond_equipment</x:v>
      </x:c>
      <x:c r="G28" s="35" t="str">
        <x:v>进阶/特权与同核心白昼羁绊版本共享</x:v>
      </x:c>
      <x:c r="H28" s="35" t="str">
        <x:v>名称核心一致；无跨核心错配</x:v>
      </x:c>
      <x:c r="I28" s="35" t="str">
        <x:v>图标不能唯一确定具体ID；保留全部CandidateIds并禁止驱动具体ID决策</x:v>
      </x:c>
    </x:row>
    <x:row r="29" ht="42" customHeight="1">
      <x:c r="A29" s="35" t="n">
        <x:v>28</x:v>
      </x:c>
      <x:c r="B29" s="35" t="str">
        <x:v>20f77f28e219c512cc588f109f488b5ea091da115a8a98ad2968abfc39b6ea7e</x:v>
      </x:c>
      <x:c r="C29" s="35" t="n">
        <x:v>2</x:v>
      </x:c>
      <x:c r="D29" s="35" t="str">
        <x:v>064；103</x:v>
      </x:c>
      <x:c r="E29" s="35" t="str">
        <x:v>永动机；永动机•特权</x:v>
      </x:c>
      <x:c r="F29" s="35" t="str">
        <x:v>advanced；privileged</x:v>
      </x:c>
      <x:c r="G29" s="35" t="str">
        <x:v>进阶/特权同核心装备共享</x:v>
      </x:c>
      <x:c r="H29" s="35" t="str">
        <x:v>名称核心一致；无跨核心错配</x:v>
      </x:c>
      <x:c r="I29" s="35" t="str">
        <x:v>图标不能唯一确定具体ID；保留全部CandidateIds并禁止驱动具体ID决策</x:v>
      </x:c>
    </x:row>
    <x:row r="30" ht="42" customHeight="1">
      <x:c r="A30" s="35" t="n">
        <x:v>29</x:v>
      </x:c>
      <x:c r="B30" s="35" t="str">
        <x:v>563ed7f4a54407f1b8ee88e837789e264cb59f4cb17de0460115d5f747796d4b</x:v>
      </x:c>
      <x:c r="C30" s="35" t="n">
        <x:v>2</x:v>
      </x:c>
      <x:c r="D30" s="35" t="str">
        <x:v>065；104</x:v>
      </x:c>
      <x:c r="E30" s="35" t="str">
        <x:v>流星飞翼；流星飞翼•特权</x:v>
      </x:c>
      <x:c r="F30" s="35" t="str">
        <x:v>advanced；privileged</x:v>
      </x:c>
      <x:c r="G30" s="35" t="str">
        <x:v>进阶/特权同核心装备共享</x:v>
      </x:c>
      <x:c r="H30" s="35" t="str">
        <x:v>名称核心一致；无跨核心错配</x:v>
      </x:c>
      <x:c r="I30" s="35" t="str">
        <x:v>图标不能唯一确定具体ID；保留全部CandidateIds并禁止驱动具体ID决策</x:v>
      </x:c>
    </x:row>
    <x:row r="31" ht="42" customHeight="1">
      <x:c r="A31" s="35" t="n">
        <x:v>30</x:v>
      </x:c>
      <x:c r="B31" s="35" t="str">
        <x:v>3f53c178daa9ce82877b9e7bf4d39f0dcac781e269e892b800f0551c68d6f548</x:v>
      </x:c>
      <x:c r="C31" s="35" t="n">
        <x:v>2</x:v>
      </x:c>
      <x:c r="D31" s="35" t="str">
        <x:v>066；105</x:v>
      </x:c>
      <x:c r="E31" s="35" t="str">
        <x:v>火力风暴潮；火力风暴潮•特权</x:v>
      </x:c>
      <x:c r="F31" s="35" t="str">
        <x:v>advanced；privileged</x:v>
      </x:c>
      <x:c r="G31" s="35" t="str">
        <x:v>进阶/特权同核心装备共享</x:v>
      </x:c>
      <x:c r="H31" s="35" t="str">
        <x:v>名称核心一致；无跨核心错配</x:v>
      </x:c>
      <x:c r="I31" s="35" t="str">
        <x:v>图标不能唯一确定具体ID；保留全部CandidateIds并禁止驱动具体ID决策</x:v>
      </x:c>
    </x:row>
    <x:row r="32" ht="42" customHeight="1">
      <x:c r="A32" s="35" t="n">
        <x:v>31</x:v>
      </x:c>
      <x:c r="B32" s="35" t="str">
        <x:v>111a5d051a9c8ceea2486d22098c6f919130418e525d151f6098ce9fa1625389</x:v>
      </x:c>
      <x:c r="C32" s="35" t="n">
        <x:v>2</x:v>
      </x:c>
      <x:c r="D32" s="35" t="str">
        <x:v>067；106</x:v>
      </x:c>
      <x:c r="E32" s="35" t="str">
        <x:v>热血沸腾拳；热血沸腾拳•特权</x:v>
      </x:c>
      <x:c r="F32" s="35" t="str">
        <x:v>advanced；privileged</x:v>
      </x:c>
      <x:c r="G32" s="35" t="str">
        <x:v>进阶/特权同核心装备共享</x:v>
      </x:c>
      <x:c r="H32" s="35" t="str">
        <x:v>名称核心一致；无跨核心错配</x:v>
      </x:c>
      <x:c r="I32" s="35" t="str">
        <x:v>图标不能唯一确定具体ID；保留全部CandidateIds并禁止驱动具体ID决策</x:v>
      </x:c>
    </x:row>
    <x:row r="33" ht="42" customHeight="1">
      <x:c r="A33" s="35" t="n">
        <x:v>32</x:v>
      </x:c>
      <x:c r="B33" s="35" t="str">
        <x:v>4204a0b84679223ecf29a6ca036e6aa95957cf6cd33512c64e55e6ae576dbb2e</x:v>
      </x:c>
      <x:c r="C33" s="35" t="n">
        <x:v>2</x:v>
      </x:c>
      <x:c r="D33" s="35" t="str">
        <x:v>068；107</x:v>
      </x:c>
      <x:c r="E33" s="35" t="str">
        <x:v>物质分解液；物质分解液•特权</x:v>
      </x:c>
      <x:c r="F33" s="35" t="str">
        <x:v>advanced；privileged</x:v>
      </x:c>
      <x:c r="G33" s="35" t="str">
        <x:v>进阶/特权同核心装备共享</x:v>
      </x:c>
      <x:c r="H33" s="35" t="str">
        <x:v>名称核心一致；无跨核心错配</x:v>
      </x:c>
      <x:c r="I33" s="35" t="str">
        <x:v>图标不能唯一确定具体ID；保留全部CandidateIds并禁止驱动具体ID决策</x:v>
      </x:c>
    </x:row>
    <x:row r="34" ht="42" customHeight="1">
      <x:c r="A34" s="35" t="n">
        <x:v>33</x:v>
      </x:c>
      <x:c r="B34" s="35" t="str">
        <x:v>f61a5944c98c2e3d9db314585345c0e673df145de7ce9ba27cea447c8d9d2220</x:v>
      </x:c>
      <x:c r="C34" s="35" t="n">
        <x:v>2</x:v>
      </x:c>
      <x:c r="D34" s="35" t="str">
        <x:v>069；108</x:v>
      </x:c>
      <x:c r="E34" s="35" t="str">
        <x:v>生命之环；生命之环•特权</x:v>
      </x:c>
      <x:c r="F34" s="35" t="str">
        <x:v>advanced；privileged</x:v>
      </x:c>
      <x:c r="G34" s="35" t="str">
        <x:v>进阶/特权同核心装备共享</x:v>
      </x:c>
      <x:c r="H34" s="35" t="str">
        <x:v>名称核心一致；无跨核心错配</x:v>
      </x:c>
      <x:c r="I34" s="35" t="str">
        <x:v>图标不能唯一确定具体ID；保留全部CandidateIds并禁止驱动具体ID决策</x:v>
      </x:c>
    </x:row>
    <x:row r="35" ht="42" customHeight="1">
      <x:c r="A35" s="35" t="n">
        <x:v>34</x:v>
      </x:c>
      <x:c r="B35" s="35" t="str">
        <x:v>88a4334ec2c83711532325576281581f338b1b709b968407b0c90458cf2b63b8</x:v>
      </x:c>
      <x:c r="C35" s="35" t="n">
        <x:v>2</x:v>
      </x:c>
      <x:c r="D35" s="35" t="str">
        <x:v>070；109</x:v>
      </x:c>
      <x:c r="E35" s="35" t="str">
        <x:v>电光履；电光履•特权</x:v>
      </x:c>
      <x:c r="F35" s="35" t="str">
        <x:v>advanced；privileged</x:v>
      </x:c>
      <x:c r="G35" s="35" t="str">
        <x:v>进阶/特权同核心装备共享</x:v>
      </x:c>
      <x:c r="H35" s="35" t="str">
        <x:v>名称核心一致；无跨核心错配</x:v>
      </x:c>
      <x:c r="I35" s="35" t="str">
        <x:v>图标不能唯一确定具体ID；保留全部CandidateIds并禁止驱动具体ID决策</x:v>
      </x:c>
    </x:row>
    <x:row r="36" ht="42" customHeight="1">
      <x:c r="A36" s="35" t="n">
        <x:v>35</x:v>
      </x:c>
      <x:c r="B36" s="35" t="str">
        <x:v>4a5f98d5703c2f8ec46dd348a41161178ef6976ea790711cc3bef4331708ec47</x:v>
      </x:c>
      <x:c r="C36" s="35" t="n">
        <x:v>2</x:v>
      </x:c>
      <x:c r="D36" s="35" t="str">
        <x:v>071；110</x:v>
      </x:c>
      <x:c r="E36" s="35" t="str">
        <x:v>电磁弹射器；电磁弹射器•特权</x:v>
      </x:c>
      <x:c r="F36" s="35" t="str">
        <x:v>advanced；privileged</x:v>
      </x:c>
      <x:c r="G36" s="35" t="str">
        <x:v>进阶/特权同核心装备共享</x:v>
      </x:c>
      <x:c r="H36" s="35" t="str">
        <x:v>名称核心一致；无跨核心错配</x:v>
      </x:c>
      <x:c r="I36" s="35" t="str">
        <x:v>图标不能唯一确定具体ID；保留全部CandidateIds并禁止驱动具体ID决策</x:v>
      </x:c>
    </x:row>
    <x:row r="37" ht="42" customHeight="1">
      <x:c r="A37" s="35" t="n">
        <x:v>36</x:v>
      </x:c>
      <x:c r="B37" s="35" t="str">
        <x:v>0e381740b644f074d8d57a640343a5197bba7c3469149f96c7d6bae8ea2d124b</x:v>
      </x:c>
      <x:c r="C37" s="35" t="n">
        <x:v>2</x:v>
      </x:c>
      <x:c r="D37" s="35" t="str">
        <x:v>072；111</x:v>
      </x:c>
      <x:c r="E37" s="35" t="str">
        <x:v>痛觉阻断芯片；痛觉阻断芯片•特权</x:v>
      </x:c>
      <x:c r="F37" s="35" t="str">
        <x:v>advanced；privileged</x:v>
      </x:c>
      <x:c r="G37" s="35" t="str">
        <x:v>进阶/特权同核心装备共享</x:v>
      </x:c>
      <x:c r="H37" s="35" t="str">
        <x:v>名称核心一致；无跨核心错配</x:v>
      </x:c>
      <x:c r="I37" s="35" t="str">
        <x:v>图标不能唯一确定具体ID；保留全部CandidateIds并禁止驱动具体ID决策</x:v>
      </x:c>
    </x:row>
    <x:row r="38" ht="42" customHeight="1">
      <x:c r="A38" s="35" t="n">
        <x:v>37</x:v>
      </x:c>
      <x:c r="B38" s="35" t="str">
        <x:v>bc53b2f878f643ce96519b04075f5e3d9301249e8c703dbeafc2c83098710fea</x:v>
      </x:c>
      <x:c r="C38" s="35" t="n">
        <x:v>2</x:v>
      </x:c>
      <x:c r="D38" s="35" t="str">
        <x:v>073；112</x:v>
      </x:c>
      <x:c r="E38" s="35" t="str">
        <x:v>碎星斩舰刀；碎星斩舰刀•特权</x:v>
      </x:c>
      <x:c r="F38" s="35" t="str">
        <x:v>advanced；privileged</x:v>
      </x:c>
      <x:c r="G38" s="35" t="str">
        <x:v>进阶/特权同核心装备共享</x:v>
      </x:c>
      <x:c r="H38" s="35" t="str">
        <x:v>名称核心一致；无跨核心错配</x:v>
      </x:c>
      <x:c r="I38" s="35" t="str">
        <x:v>图标不能唯一确定具体ID；保留全部CandidateIds并禁止驱动具体ID决策</x:v>
      </x:c>
    </x:row>
    <x:row r="39" ht="42" customHeight="1">
      <x:c r="A39" s="35" t="n">
        <x:v>38</x:v>
      </x:c>
      <x:c r="B39" s="35" t="str">
        <x:v>b7715ddb5c9dea4d24897d8f80a1c790c272ce6cbfa1ab336a6078c379b610d2</x:v>
      </x:c>
      <x:c r="C39" s="35" t="n">
        <x:v>2</x:v>
      </x:c>
      <x:c r="D39" s="35" t="str">
        <x:v>074；113</x:v>
      </x:c>
      <x:c r="E39" s="35" t="str">
        <x:v>绝对热量；绝对热量•特权</x:v>
      </x:c>
      <x:c r="F39" s="35" t="str">
        <x:v>advanced；privileged</x:v>
      </x:c>
      <x:c r="G39" s="35" t="str">
        <x:v>进阶/特权同核心装备共享</x:v>
      </x:c>
      <x:c r="H39" s="35" t="str">
        <x:v>名称核心一致；无跨核心错配</x:v>
      </x:c>
      <x:c r="I39" s="35" t="str">
        <x:v>图标不能唯一确定具体ID；保留全部CandidateIds并禁止驱动具体ID决策</x:v>
      </x:c>
    </x:row>
    <x:row r="40" ht="42" customHeight="1">
      <x:c r="A40" s="35" t="n">
        <x:v>39</x:v>
      </x:c>
      <x:c r="B40" s="35" t="str">
        <x:v>a7992e1a9bc95462f233d13ad4619571c80b69e62ddca7f14275f4abd006ea90</x:v>
      </x:c>
      <x:c r="C40" s="35" t="n">
        <x:v>2</x:v>
      </x:c>
      <x:c r="D40" s="35" t="str">
        <x:v>075；114</x:v>
      </x:c>
      <x:c r="E40" s="35" t="str">
        <x:v>胜利之旗；胜利之旗•特权</x:v>
      </x:c>
      <x:c r="F40" s="35" t="str">
        <x:v>advanced；privileged</x:v>
      </x:c>
      <x:c r="G40" s="35" t="str">
        <x:v>进阶/特权同核心装备共享</x:v>
      </x:c>
      <x:c r="H40" s="35" t="str">
        <x:v>名称核心一致；无跨核心错配</x:v>
      </x:c>
      <x:c r="I40" s="35" t="str">
        <x:v>图标不能唯一确定具体ID；保留全部CandidateIds并禁止驱动具体ID决策</x:v>
      </x:c>
    </x:row>
    <x:row r="41" ht="42" customHeight="1">
      <x:c r="A41" s="35" t="n">
        <x:v>40</x:v>
      </x:c>
      <x:c r="B41" s="35" t="str">
        <x:v>4f0536a5df57dbb1fd94fa4688a2da232f7e20347f9810ad0d3633404917eaac</x:v>
      </x:c>
      <x:c r="C41" s="35" t="n">
        <x:v>2</x:v>
      </x:c>
      <x:c r="D41" s="35" t="str">
        <x:v>076；115</x:v>
      </x:c>
      <x:c r="E41" s="35" t="str">
        <x:v>自适应外骨骼；自适应外骨骼•特权</x:v>
      </x:c>
      <x:c r="F41" s="35" t="str">
        <x:v>advanced；privileged</x:v>
      </x:c>
      <x:c r="G41" s="35" t="str">
        <x:v>进阶/特权同核心装备共享</x:v>
      </x:c>
      <x:c r="H41" s="35" t="str">
        <x:v>名称核心一致；无跨核心错配</x:v>
      </x:c>
      <x:c r="I41" s="35" t="str">
        <x:v>图标不能唯一确定具体ID；保留全部CandidateIds并禁止驱动具体ID决策</x:v>
      </x:c>
    </x:row>
    <x:row r="42" ht="42" customHeight="1">
      <x:c r="A42" s="35" t="n">
        <x:v>41</x:v>
      </x:c>
      <x:c r="B42" s="35" t="str">
        <x:v>33121ab041df3a0573fb638f4687c2dabd116e0ba6f4ae08d6a0839d25affe9c</x:v>
      </x:c>
      <x:c r="C42" s="35" t="n">
        <x:v>2</x:v>
      </x:c>
      <x:c r="D42" s="35" t="str">
        <x:v>077；116</x:v>
      </x:c>
      <x:c r="E42" s="35" t="str">
        <x:v>蓄能帆；蓄能帆•特权</x:v>
      </x:c>
      <x:c r="F42" s="35" t="str">
        <x:v>advanced；privileged</x:v>
      </x:c>
      <x:c r="G42" s="35" t="str">
        <x:v>进阶/特权同核心装备共享</x:v>
      </x:c>
      <x:c r="H42" s="35" t="str">
        <x:v>名称核心一致；无跨核心错配</x:v>
      </x:c>
      <x:c r="I42" s="35" t="str">
        <x:v>图标不能唯一确定具体ID；保留全部CandidateIds并禁止驱动具体ID决策</x:v>
      </x:c>
    </x:row>
    <x:row r="43" ht="42" customHeight="1">
      <x:c r="A43" s="35" t="n">
        <x:v>42</x:v>
      </x:c>
      <x:c r="B43" s="35" t="str">
        <x:v>5468037f10a03db79db0ff7fd5c64de648cc4a5e9459279826d25a2e9d083302</x:v>
      </x:c>
      <x:c r="C43" s="35" t="n">
        <x:v>2</x:v>
      </x:c>
      <x:c r="D43" s="35" t="str">
        <x:v>078；117</x:v>
      </x:c>
      <x:c r="E43" s="35" t="str">
        <x:v>虫洞掘进钻头；虫洞掘进钻头•特权</x:v>
      </x:c>
      <x:c r="F43" s="35" t="str">
        <x:v>advanced；privileged</x:v>
      </x:c>
      <x:c r="G43" s="35" t="str">
        <x:v>进阶/特权同核心装备共享</x:v>
      </x:c>
      <x:c r="H43" s="35" t="str">
        <x:v>名称核心一致；无跨核心错配</x:v>
      </x:c>
      <x:c r="I43" s="35" t="str">
        <x:v>图标不能唯一确定具体ID；保留全部CandidateIds并禁止驱动具体ID决策</x:v>
      </x:c>
    </x:row>
    <x:row r="44" ht="42" customHeight="1">
      <x:c r="A44" s="35" t="n">
        <x:v>43</x:v>
      </x:c>
      <x:c r="B44" s="35" t="str">
        <x:v>057093a212c7dc7196a410cd1fae91fec7bd4e34113ea1ffe0fd38573350dc11</x:v>
      </x:c>
      <x:c r="C44" s="35" t="n">
        <x:v>2</x:v>
      </x:c>
      <x:c r="D44" s="35" t="str">
        <x:v>079；118</x:v>
      </x:c>
      <x:c r="E44" s="35" t="str">
        <x:v>行星钻地弹；行星钻地弹•特权</x:v>
      </x:c>
      <x:c r="F44" s="35" t="str">
        <x:v>advanced；privileged</x:v>
      </x:c>
      <x:c r="G44" s="35" t="str">
        <x:v>进阶/特权同核心装备共享</x:v>
      </x:c>
      <x:c r="H44" s="35" t="str">
        <x:v>名称核心一致；无跨核心错配</x:v>
      </x:c>
      <x:c r="I44" s="35" t="str">
        <x:v>图标不能唯一确定具体ID；保留全部CandidateIds并禁止驱动具体ID决策</x:v>
      </x:c>
    </x:row>
    <x:row r="45" ht="42" customHeight="1">
      <x:c r="A45" s="35" t="n">
        <x:v>44</x:v>
      </x:c>
      <x:c r="B45" s="35" t="str">
        <x:v>ef05ef9c99143308d34121776f49b584f899a13afff12bc3d8ae58c6acac8898</x:v>
      </x:c>
      <x:c r="C45" s="35" t="n">
        <x:v>2</x:v>
      </x:c>
      <x:c r="D45" s="35" t="str">
        <x:v>080；119</x:v>
      </x:c>
      <x:c r="E45" s="35" t="str">
        <x:v>追逐星辰；追逐星辰•特权</x:v>
      </x:c>
      <x:c r="F45" s="35" t="str">
        <x:v>advanced；privileged</x:v>
      </x:c>
      <x:c r="G45" s="35" t="str">
        <x:v>进阶/特权同核心装备共享</x:v>
      </x:c>
      <x:c r="H45" s="35" t="str">
        <x:v>名称核心一致；无跨核心错配</x:v>
      </x:c>
      <x:c r="I45" s="35" t="str">
        <x:v>图标不能唯一确定具体ID；保留全部CandidateIds并禁止驱动具体ID决策</x:v>
      </x:c>
    </x:row>
    <x:row r="46" ht="42" customHeight="1">
      <x:c r="A46" s="35" t="n">
        <x:v>45</x:v>
      </x:c>
      <x:c r="B46" s="35" t="str">
        <x:v>014ef547bca716049301e771bb5f9ff025777d31210818901237269f6872a98b</x:v>
      </x:c>
      <x:c r="C46" s="35" t="n">
        <x:v>2</x:v>
      </x:c>
      <x:c r="D46" s="35" t="str">
        <x:v>081；120</x:v>
      </x:c>
      <x:c r="E46" s="35" t="str">
        <x:v>闪光手榴弹；闪光手榴弹•特权</x:v>
      </x:c>
      <x:c r="F46" s="35" t="str">
        <x:v>advanced；privileged</x:v>
      </x:c>
      <x:c r="G46" s="35" t="str">
        <x:v>进阶/特权同核心装备共享</x:v>
      </x:c>
      <x:c r="H46" s="35" t="str">
        <x:v>名称核心一致；无跨核心错配</x:v>
      </x:c>
      <x:c r="I46" s="35" t="str">
        <x:v>图标不能唯一确定具体ID；保留全部CandidateIds并禁止驱动具体ID决策</x:v>
      </x:c>
    </x:row>
    <x:row r="47" ht="42" customHeight="1">
      <x:c r="A47" s="35" t="n">
        <x:v>46</x:v>
      </x:c>
      <x:c r="B47" s="35" t="str">
        <x:v>41503631a9126cb5eff4a7386e577541e7a29c980222264e131febf96517b31b</x:v>
      </x:c>
      <x:c r="C47" s="35" t="n">
        <x:v>2</x:v>
      </x:c>
      <x:c r="D47" s="35" t="str">
        <x:v>082；121</x:v>
      </x:c>
      <x:c r="E47" s="35" t="str">
        <x:v>随便骰子；随便骰子•特权</x:v>
      </x:c>
      <x:c r="F47" s="35" t="str">
        <x:v>advanced；privileged</x:v>
      </x:c>
      <x:c r="G47" s="35" t="str">
        <x:v>进阶/特权同核心装备共享</x:v>
      </x:c>
      <x:c r="H47" s="35" t="str">
        <x:v>名称核心一致；无跨核心错配</x:v>
      </x:c>
      <x:c r="I47" s="35" t="str">
        <x:v>图标不能唯一确定具体ID；保留全部CandidateIds并禁止驱动具体ID决策</x:v>
      </x:c>
    </x:row>
    <x:row r="48" ht="42" customHeight="1">
      <x:c r="A48" s="35" t="n">
        <x:v>47</x:v>
      </x:c>
      <x:c r="B48" s="35" t="str">
        <x:v>68bb0c44f85d14e6d41ada9323292b90c02acd6ff956315e456b912f73c8bf4e</x:v>
      </x:c>
      <x:c r="C48" s="35" t="n">
        <x:v>2</x:v>
      </x:c>
      <x:c r="D48" s="35" t="str">
        <x:v>083；122</x:v>
      </x:c>
      <x:c r="E48" s="35" t="str">
        <x:v>高周波电锯；高周波电锯•特权</x:v>
      </x:c>
      <x:c r="F48" s="35" t="str">
        <x:v>advanced；privileged</x:v>
      </x:c>
      <x:c r="G48" s="35" t="str">
        <x:v>进阶/特权同核心装备共享</x:v>
      </x:c>
      <x:c r="H48" s="35" t="str">
        <x:v>名称核心一致；无跨核心错配</x:v>
      </x:c>
      <x:c r="I48" s="35" t="str">
        <x:v>图标不能唯一确定具体ID；保留全部CandidateIds并禁止驱动具体ID决策</x:v>
      </x:c>
    </x:row>
  </x:sheetData>
  <x:pageMargins left="0.7" right="0.7" top="0.75" bottom="0.75" header="0.3" footer="0.3"/>
  <x:tableParts count="1">
    <x:tablePart xmlns:r="http://schemas.openxmlformats.org/officeDocument/2006/relationships" r:id="R077a21c5ce1549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>
      <x:c r="A1" s="25" t="str">
        <x:v>运行分类</x:v>
      </x:c>
      <x:c r="B1" s="25" t="str">
        <x:v>数量（公式）</x:v>
      </x:c>
      <x:c r="C1" s="25" t="str">
        <x:v>占比</x:v>
      </x:c>
    </x:row>
    <x:row r="2">
      <x:c r="A2" s="25" t="str">
        <x:v>advanced</x:v>
      </x:c>
      <x:c r="B2" s="25" t="n">
        <x:f>COUNTIF('装备清单'!$E$2:$E$158,A2)</x:f>
        <x:v>36</x:v>
      </x:c>
      <x:c r="C2" s="55" t="n">
        <x:f>B2/157</x:f>
        <x:v>0.22929936305732485</x:v>
      </x:c>
    </x:row>
    <x:row r="3">
      <x:c r="A3" s="25" t="str">
        <x:v>armament_box</x:v>
      </x:c>
      <x:c r="B3" s="25" t="n">
        <x:f>COUNTIF('装备清单'!$E$2:$E$158,A3)</x:f>
        <x:v>3</x:v>
      </x:c>
      <x:c r="C3" s="55" t="n">
        <x:f>B3/157</x:f>
        <x:v>0.01910828025477707</x:v>
      </x:c>
    </x:row>
    <x:row r="4">
      <x:c r="A4" s="25" t="str">
        <x:v>basic</x:v>
      </x:c>
      <x:c r="B4" s="25" t="n">
        <x:f>COUNTIF('装备清单'!$E$2:$E$158,A4)</x:f>
        <x:v>8</x:v>
      </x:c>
      <x:c r="C4" s="55" t="n">
        <x:f>B4/157</x:f>
        <x:v>0.050955414012738856</x:v>
      </x:c>
    </x:row>
    <x:row r="5">
      <x:c r="A5" s="25" t="str">
        <x:v>bond_equipment</x:v>
      </x:c>
      <x:c r="B5" s="25" t="n">
        <x:f>COUNTIF('装备清单'!$E$2:$E$158,A5)</x:f>
        <x:v>6</x:v>
      </x:c>
      <x:c r="C5" s="55" t="n">
        <x:f>B5/157</x:f>
        <x:v>0.03821656050955414</x:v>
      </x:c>
    </x:row>
    <x:row r="6">
      <x:c r="A6" s="25" t="str">
        <x:v>consumable</x:v>
      </x:c>
      <x:c r="B6" s="25" t="n">
        <x:f>COUNTIF('装备清单'!$E$2:$E$158,A6)</x:f>
        <x:v>7</x:v>
      </x:c>
      <x:c r="C6" s="55" t="n">
        <x:f>B6/157</x:f>
        <x:v>0.044585987261146494</x:v>
      </x:c>
    </x:row>
    <x:row r="7">
      <x:c r="A7" s="25" t="str">
        <x:v>faction_emblem</x:v>
      </x:c>
      <x:c r="B7" s="25" t="n">
        <x:f>COUNTIF('装备清单'!$E$2:$E$158,A7)</x:f>
        <x:v>10</x:v>
      </x:c>
      <x:c r="C7" s="55" t="n">
        <x:f>B7/157</x:f>
        <x:v>0.06369426751592357</x:v>
      </x:c>
    </x:row>
    <x:row r="8">
      <x:c r="A8" s="25" t="str">
        <x:v>fate_component</x:v>
      </x:c>
      <x:c r="B8" s="25" t="n">
        <x:f>COUNTIF('装备清单'!$E$2:$E$158,A8)</x:f>
        <x:v>17</x:v>
      </x:c>
      <x:c r="C8" s="55" t="n">
        <x:f>B8/157</x:f>
        <x:v>0.10828025477707007</x:v>
      </x:c>
    </x:row>
    <x:row r="9">
      <x:c r="A9" s="25" t="str">
        <x:v>gem_material</x:v>
      </x:c>
      <x:c r="B9" s="25" t="n">
        <x:f>COUNTIF('装备清单'!$E$2:$E$158,A9)</x:f>
        <x:v>2</x:v>
      </x:c>
      <x:c r="C9" s="55" t="n">
        <x:f>B9/157</x:f>
        <x:v>0.012738853503184714</x:v>
      </x:c>
    </x:row>
    <x:row r="10">
      <x:c r="A10" s="25" t="str">
        <x:v>hacking_component</x:v>
      </x:c>
      <x:c r="B10" s="25" t="n">
        <x:f>COUNTIF('装备清单'!$E$2:$E$158,A10)</x:f>
        <x:v>16</x:v>
      </x:c>
      <x:c r="C10" s="55" t="n">
        <x:f>B10/157</x:f>
        <x:v>0.10191082802547771</x:v>
      </x:c>
    </x:row>
    <x:row r="11">
      <x:c r="A11" s="25" t="str">
        <x:v>privileged</x:v>
      </x:c>
      <x:c r="B11" s="25" t="n">
        <x:f>COUNTIF('装备清单'!$E$2:$E$158,A11)</x:f>
        <x:v>36</x:v>
      </x:c>
      <x:c r="C11" s="55" t="n">
        <x:f>B11/157</x:f>
        <x:v>0.22929936305732485</x:v>
      </x:c>
    </x:row>
    <x:row r="12">
      <x:c r="A12" s="25" t="str">
        <x:v>special_item</x:v>
      </x:c>
      <x:c r="B12" s="25" t="n">
        <x:f>COUNTIF('装备清单'!$E$2:$E$158,A12)</x:f>
        <x:v>1</x:v>
      </x:c>
      <x:c r="C12" s="55" t="n">
        <x:f>B12/157</x:f>
        <x:v>0.006369426751592357</x:v>
      </x:c>
    </x:row>
    <x:row r="13">
      <x:c r="A13" s="25" t="str">
        <x:v>special_material</x:v>
      </x:c>
      <x:c r="B13" s="25" t="n">
        <x:f>COUNTIF('装备清单'!$E$2:$E$158,A13)</x:f>
        <x:v>2</x:v>
      </x:c>
      <x:c r="C13" s="55" t="n">
        <x:f>B13/157</x:f>
        <x:v>0.012738853503184714</x:v>
      </x:c>
    </x:row>
    <x:row r="14">
      <x:c r="A14" s="25" t="str">
        <x:v>style_emblem</x:v>
      </x:c>
      <x:c r="B14" s="25" t="n">
        <x:f>COUNTIF('装备清单'!$E$2:$E$158,A14)</x:f>
        <x:v>12</x:v>
      </x:c>
      <x:c r="C14" s="55" t="n">
        <x:f>B14/157</x:f>
        <x:v>0.07643312101910828</x:v>
      </x:c>
    </x:row>
    <x:row r="15">
      <x:c r="A15" s="25" t="str">
        <x:v>wealth_gem</x:v>
      </x:c>
      <x:c r="B15" s="25" t="n">
        <x:f>COUNTIF('装备清单'!$E$2:$E$158,A15)</x:f>
        <x:v>1</x:v>
      </x:c>
      <x:c r="C15" s="55" t="n">
        <x:f>B15/157</x:f>
        <x:v>0.006369426751592357</x:v>
      </x:c>
    </x:row>
    <x:row r="16">
      <x:c r="A16" s="25"/>
      <x:c r="B16" s="25"/>
      <x:c r="C16" s="25"/>
    </x:row>
    <x:row r="17">
      <x:c r="A17" s="56" t="str">
        <x:v>合计</x:v>
      </x:c>
      <x:c r="B17" s="56" t="n">
        <x:f>SUM(B2:B15)</x:f>
        <x:v>157</x:v>
      </x:c>
      <x:c r="C17" s="57" t="n">
        <x:f>SUM(C2:C15)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b9bc849d6b640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22" hidden="0" customWidth="1"/>
    <x:col min="4" max="4" width="56" hidden="0" customWidth="1"/>
    <x:col min="5" max="5" width="56" hidden="0" customWidth="1"/>
  </x:cols>
  <x:sheetData>
    <x:row r="1" ht="48" customHeight="1">
      <x:c r="A1" s="35" t="str">
        <x:v>来源</x:v>
      </x:c>
      <x:c r="B1" s="35" t="str">
        <x:v>URL / 本地路径</x:v>
      </x:c>
      <x:c r="C1" s="35" t="str">
        <x:v>层级</x:v>
      </x:c>
      <x:c r="D1" s="35" t="str">
        <x:v>本轮支持内容</x:v>
      </x:c>
      <x:c r="E1" s="35" t="str">
        <x:v>不能支持/限制</x:v>
      </x:c>
    </x:row>
    <x:row r="2" ht="48" customHeight="1">
      <x:c r="A2" s="35" t="str">
        <x:v>米游社官方玩法指南</x:v>
      </x:c>
      <x:c r="B2" s="35" t="str">
        <x:v>https://www.miyoushe.com/sr/article/70242029</x:v>
      </x:c>
      <x:c r="C2" s="35" t="str">
        <x:v>官方</x:v>
      </x:c>
      <x:c r="D2" s="35" t="str">
        <x:v>货币战争装备机制、简易/进阶与合成/拆装规则</x:v>
      </x:c>
      <x:c r="E2" s="35" t="str">
        <x:v>不提供本地157项逐项中文名/分类/图标证明</x:v>
      </x:c>
    </x:row>
    <x:row r="3" ht="48" customHeight="1">
      <x:c r="A3" s="35" t="str">
        <x:v>米游社官方 V4.0扩展</x:v>
      </x:c>
      <x:c r="B3" s="35" t="str">
        <x:v>https://www.miyoushe.com/sr/article/73128301</x:v>
      </x:c>
      <x:c r="C3" s="35" t="str">
        <x:v>官方</x:v>
      </x:c>
      <x:c r="D3" s="35" t="str">
        <x:v>垃圾袋/金垃圾袋属于新增装备；专家邀请函单列为战利品</x:v>
      </x:c>
      <x:c r="E3" s="35" t="str">
        <x:v>不提供三项单独图标；不能支持其余条目</x:v>
      </x:c>
    </x:row>
    <x:row r="4" ht="48" customHeight="1">
      <x:c r="A4" s="35" t="str">
        <x:v>米游社官方 V4.2扩展</x:v>
      </x:c>
      <x:c r="B4" s="35" t="str">
        <x:v>https://www.miyoushe.com/sr/article/74751748</x:v>
      </x:c>
      <x:c r="C4" s="35" t="str">
        <x:v>官方</x:v>
      </x:c>
      <x:c r="D4" s="35" t="str">
        <x:v>欢愉星徽；骇客改件为银狼专属特殊装备且不占装备栏</x:v>
      </x:c>
      <x:c r="E4" s="35" t="str">
        <x:v>未列16个骇客改件子名称/图标</x:v>
      </x:c>
    </x:row>
    <x:row r="5" ht="48" customHeight="1">
      <x:c r="A5" s="35" t="str">
        <x:v>米游社官方 V4.4扩展</x:v>
      </x:c>
      <x:c r="B5" s="35" t="str">
        <x:v>https://www.miyoushe.com/sr/article/76641553</x:v>
      </x:c>
      <x:c r="C5" s="35" t="str">
        <x:v>官方</x:v>
      </x:c>
      <x:c r="D5" s="35" t="str">
        <x:v>命运圣杯星徽中文名与加入命运圣杯羁绊的效果（仅001）</x:v>
      </x:c>
      <x:c r="E5" s="35" t="str">
        <x:v>不展示该单项图标，不能外推其余156项</x:v>
      </x:c>
    </x:row>
    <x:row r="6" ht="48" customHeight="1">
      <x:c r="A6" s="35" t="str">
        <x:v>BWIKI 装备一览 oldid=99085</x:v>
      </x:c>
      <x:c r="B6" s="35" t="str">
        <x:v>https://wiki.biligame.com/sr/index.php?title=%E8%A3%85%E5%A4%87%E4%B8%80%E8%A7%88&amp;oldid=99085</x:v>
      </x:c>
      <x:c r="C6" s="35" t="str">
        <x:v>社区Wiki固定修订</x:v>
      </x:c>
      <x:c r="D6" s="35" t="str">
        <x:v>159行/158个唯一名称；本地名称、类型、表内图标的主要来源</x:v>
      </x:c>
      <x:c r="E6" s="35" t="str">
        <x:v>BWIKI非官方；99085是总表修订号，不是各详情页修订号</x:v>
      </x:c>
    </x:row>
    <x:row r="7" ht="48" customHeight="1">
      <x:c r="A7" s="35" t="str">
        <x:v>BWIKI 货币战争</x:v>
      </x:c>
      <x:c r="B7" s="35" t="str">
        <x:v>https://wiki.biligame.com/sr/货币战争</x:v>
      </x:c>
      <x:c r="C7" s="35" t="str">
        <x:v>社区Wiki</x:v>
      </x:c>
      <x:c r="D7" s="35" t="str">
        <x:v>装备玩法、奖励/补给节点、合成规则</x:v>
      </x:c>
      <x:c r="E7" s="35" t="str">
        <x:v>不等于官方逐项资产清单</x:v>
      </x:c>
    </x:row>
    <x:row r="8" ht="48" customHeight="1">
      <x:c r="A8" s="35" t="str">
        <x:v>PatchWiki 图片CDN</x:v>
      </x:c>
      <x:c r="B8" s="35" t="str">
        <x:v>装备清单T列157个唯一URL</x:v>
      </x:c>
      <x:c r="C8" s="35" t="str">
        <x:v>社区Wiki图片源</x:v>
      </x:c>
      <x:c r="D8" s="35" t="str">
        <x:v>157/157 HTTP200且远程SHA与本地完全一致</x:v>
      </x:c>
      <x:c r="E8" s="35" t="str">
        <x:v>证明字节来源一致，不单独证明名称/分类正确</x:v>
      </x:c>
    </x:row>
    <x:row r="9" ht="48" customHeight="1">
      <x:c r="A9" s="35" t="str">
        <x:v>Fandom Currency Wars Equipment</x:v>
      </x:c>
      <x:c r="B9" s="35" t="str">
        <x:v>https://honkai-star-rail.fandom.com/wiki/Currency_Wars%3A_Zero-Sum_Game/Equipment</x:v>
      </x:c>
      <x:c r="C9" s="35" t="str">
        <x:v>独立社区Wiki</x:v>
      </x:c>
      <x:c r="D9" s="35" t="str">
        <x:v>119行/118个唯一英文名；装备族、图标与类别的辅助交叉来源</x:v>
      </x:c>
      <x:c r="E9" s="35" t="str">
        <x:v>特权与进阶合并；不覆盖156–159，不能1:1支持157中文记录</x:v>
      </x:c>
    </x:row>
    <x:row r="10" ht="48" customHeight="1">
      <x:c r="A10" s="35" t="str">
        <x:v>本地原始包 records.json</x:v>
      </x:c>
      <x:c r="B10" s="35" t="str">
        <x:v>D:\Codex-2\work\CurrencyWarsAssistant-0.2.839-audit-20260808\data\raw\4.4\equipment\890ae486642e979b\records.json</x:v>
      </x:c>
      <x:c r="C10" s="35" t="str">
        <x:v>可追溯本地证据</x:v>
      </x:c>
      <x:c r="D10" s="35" t="str">
        <x:v>上游类型、名称、图标来源、总表修订与数据变换说明</x:v>
      </x:c>
      <x:c r="E10" s="35" t="str">
        <x:v>其中垃圾袋/金垃圾袋上游类型仍为？/？？？</x:v>
      </x:c>
    </x:row>
    <x:row r="11" ht="48" customHeight="1">
      <x:c r="A11" s="35" t="str">
        <x:v>本地运行包 equipment.json</x:v>
      </x:c>
      <x:c r="B11" s="35" t="str">
        <x:v>D:\Codex-2\work\CurrencyWarsAssistant-0.2.839-audit-20260808\data\runtime\1.0.0\4.4\equipment\equipment.json</x:v>
      </x:c>
      <x:c r="C11" s="35" t="str">
        <x:v>生产运行资产</x:v>
      </x:c>
      <x:c r="D11" s="35" t="str">
        <x:v>157条运行分类、内部ID、映射关系与图标声明SHA</x:v>
      </x:c>
      <x:c r="E11" s="35" t="str">
        <x:v>运行分类是本地变换结果，不应冒充来源端原始分类</x:v>
      </x:c>
    </x:row>
    <x:row r="12" ht="48" customHeight="1">
      <x:c r="A12" s="35"/>
      <x:c r="B12" s="35"/>
      <x:c r="C12" s="35"/>
      <x:c r="D12" s="35"/>
      <x:c r="E12" s="35"/>
    </x:row>
    <x:row r="13" ht="48" customHeight="1">
      <x:c r="A13" s="66" t="str">
        <x:v>关键变换/冲突</x:v>
      </x:c>
      <x:c r="B13" s="66"/>
      <x:c r="C13" s="66"/>
      <x:c r="D13" s="66"/>
      <x:c r="E13" s="66"/>
    </x:row>
    <x:row r="14" ht="48" customHeight="1">
      <x:c r="A14" s="43" t="str">
        <x:v>总表覆盖冲突</x:v>
      </x:c>
      <x:c r="B14" s="35" t="str">
        <x:v>oldid=99085实际159行；本地排除财富×2和专家邀请函，补入星徽秘典。交接说明仅记录“158条、财富为误列”，与可复核DOM不一致。</x:v>
      </x:c>
      <x:c r="C14" s="35"/>
      <x:c r="D14" s="35"/>
      <x:c r="E14" s="35"/>
    </x:row>
    <x:row r="15" ht="48" customHeight="1">
      <x:c r="A15" s="43" t="str">
        <x:v>财富×2</x:v>
      </x:c>
      <x:c r="B15" s="35" t="str">
        <x:v>BWIKI固定修订与Fandom当前页均保留两条Wealth且共用图标；可能是联动前过渡资产，但缺少7月24日后实机图鉴/截图，是否应纳入当前4.4清单未验证。</x:v>
      </x:c>
      <x:c r="C15" s="35"/>
      <x:c r="D15" s="35"/>
      <x:c r="E15" s="35"/>
    </x:row>
    <x:row r="16" ht="48" customHeight="1">
      <x:c r="A16" s="43" t="str">
        <x:v>专家邀请函</x:v>
      </x:c>
      <x:c r="B16" s="35" t="str">
        <x:v>BWIKI表内有该项，但米游社V4.0官方公告将其单列在“战利品”而非“装备”；排除有官方类别依据。</x:v>
      </x:c>
      <x:c r="C16" s="35"/>
      <x:c r="D16" s="35"/>
      <x:c r="E16" s="35"/>
    </x:row>
    <x:row r="17" ht="48" customHeight="1">
      <x:c r="A17" s="43" t="str">
        <x:v>星徽秘典</x:v>
      </x:c>
      <x:c r="B17" s="35" t="str">
        <x:v>无独立BWIKI详情页；本地来源URL指向总表，名称/用途由投资策略与羁绊资料补充。</x:v>
      </x:c>
      <x:c r="C17" s="35"/>
      <x:c r="D17" s="35"/>
      <x:c r="E17" s="35"/>
    </x:row>
    <x:row r="18" ht="48" customHeight="1">
      <x:c r="A18" s="43" t="str">
        <x:v>垃圾袋分类</x:v>
      </x:c>
      <x:c r="B18" s="35" t="str">
        <x:v>上游类型“？”；本地运行分类 special_material，保留待确认。</x:v>
      </x:c>
      <x:c r="C18" s="35"/>
      <x:c r="D18" s="35"/>
      <x:c r="E18" s="35"/>
    </x:row>
    <x:row r="19" ht="48" customHeight="1">
      <x:c r="A19" s="43" t="str">
        <x:v>金垃圾袋分类</x:v>
      </x:c>
      <x:c r="B19" s="35" t="str">
        <x:v>上游类型“？？？”；本地运行分类 special_material，保留待确认。</x:v>
      </x:c>
      <x:c r="C19" s="35"/>
      <x:c r="D19" s="35"/>
      <x:c r="E19" s="35"/>
    </x:row>
  </x:sheetData>
  <x:mergeCells>
    <x:mergeCell ref="B13:E13"/>
    <x:mergeCell ref="B14:E14"/>
    <x:mergeCell ref="B15:E15"/>
    <x:mergeCell ref="B16:E16"/>
    <x:mergeCell ref="B17:E17"/>
    <x:mergeCell ref="B18:E18"/>
    <x:mergeCell ref="B19:E19"/>
  </x:mergeCells>
  <x:pageMargins left="0.7" right="0.7" top="0.75" bottom="0.75" header="0.3" footer="0.3"/>
  <x:tableParts count="1">
    <x:tablePart xmlns:r="http://schemas.openxmlformats.org/officeDocument/2006/relationships" r:id="R18bb0aa904be4b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70" hidden="0" customWidth="1"/>
    <x:col min="5" max="5" width="36" hidden="0" customWidth="1"/>
    <x:col min="6" max="6" width="56" hidden="0" customWidth="1"/>
    <x:col min="7" max="7" width="56" hidden="0" customWidth="1"/>
  </x:cols>
  <x:sheetData>
    <x:row r="1">
      <x:c r="A1" s="35" t="str">
        <x:v>页</x:v>
      </x:c>
      <x:c r="B1" s="35" t="str">
        <x:v>ID范围</x:v>
      </x:c>
      <x:c r="C1" s="35" t="str">
        <x:v>文件</x:v>
      </x:c>
      <x:c r="D1" s="35" t="str">
        <x:v>绝对路径</x:v>
      </x:c>
      <x:c r="E1" s="35" t="str">
        <x:v>SHA256</x:v>
      </x:c>
      <x:c r="F1" s="35" t="str">
        <x:v>逐页核对结果</x:v>
      </x:c>
      <x:c r="G1" s="35" t="str">
        <x:v>边界</x:v>
      </x:c>
    </x:row>
    <x:row r="2" ht="56" customHeight="1">
      <x:c r="A2" s="35" t="n">
        <x:v>1</x:v>
      </x:c>
      <x:c r="B2" s="35" t="str">
        <x:v>001–022</x:v>
      </x:c>
      <x:c r="C2" s="35" t="str">
        <x:v>equipment-contact-01.png</x:v>
      </x:c>
      <x:c r="D2" s="35" t="str">
        <x:v>D:\Codex-2\work\CurrencyWarsAssistant-0.2.839-audit-20260808\audit\issues\ISSUE-015-equipment-icon-name-source-audit\visual-local\equipment-contact-01.png</x:v>
      </x:c>
      <x:c r="E2" s="35" t="str">
        <x:v>6c26a4798c12df24607132085e24b4c5f45b7777e6302c0a07e2e72ae0c74f08</x:v>
      </x:c>
      <x:c r="F2" s="35" t="str">
        <x:v>全部格位可见；无空白、透明损坏、异常裁切或相邻错位；同核心重复图标关系一致</x:v>
      </x:c>
      <x:c r="G2" s="35" t="str">
        <x:v>视觉结论仅为本地错配排查，不代替官方来源核验</x:v>
      </x:c>
    </x:row>
    <x:row r="3" ht="56" customHeight="1">
      <x:c r="A3" s="35" t="n">
        <x:v>2</x:v>
      </x:c>
      <x:c r="B3" s="35" t="str">
        <x:v>023–042</x:v>
      </x:c>
      <x:c r="C3" s="35" t="str">
        <x:v>equipment-contact-02.png</x:v>
      </x:c>
      <x:c r="D3" s="35" t="str">
        <x:v>D:\Codex-2\work\CurrencyWarsAssistant-0.2.839-audit-20260808\audit\issues\ISSUE-015-equipment-icon-name-source-audit\visual-local\equipment-contact-02.png</x:v>
      </x:c>
      <x:c r="E3" s="35" t="str">
        <x:v>22ef3fd7d894dce475a299d679671ede46717f727c8dbafebb83a477ee1ee73d</x:v>
      </x:c>
      <x:c r="F3" s="35" t="str">
        <x:v>全部格位可见；无空白、透明损坏、异常裁切或相邻错位；同核心重复图标关系一致</x:v>
      </x:c>
      <x:c r="G3" s="35" t="str">
        <x:v>视觉结论仅为本地错配排查，不代替官方来源核验</x:v>
      </x:c>
    </x:row>
    <x:row r="4" ht="56" customHeight="1">
      <x:c r="A4" s="35" t="n">
        <x:v>3</x:v>
      </x:c>
      <x:c r="B4" s="35" t="str">
        <x:v>043–062</x:v>
      </x:c>
      <x:c r="C4" s="35" t="str">
        <x:v>equipment-contact-03.png</x:v>
      </x:c>
      <x:c r="D4" s="35" t="str">
        <x:v>D:\Codex-2\work\CurrencyWarsAssistant-0.2.839-audit-20260808\audit\issues\ISSUE-015-equipment-icon-name-source-audit\visual-local\equipment-contact-03.png</x:v>
      </x:c>
      <x:c r="E4" s="35" t="str">
        <x:v>c8f8dfc7cae38773d1fb9bdcbff3df3ef0222a0f771270d66900d943d0e85722</x:v>
      </x:c>
      <x:c r="F4" s="35" t="str">
        <x:v>全部格位可见；无空白、透明损坏、异常裁切或相邻错位；同核心重复图标关系一致</x:v>
      </x:c>
      <x:c r="G4" s="35" t="str">
        <x:v>视觉结论仅为本地错配排查，不代替官方来源核验</x:v>
      </x:c>
    </x:row>
    <x:row r="5" ht="56" customHeight="1">
      <x:c r="A5" s="35" t="n">
        <x:v>4</x:v>
      </x:c>
      <x:c r="B5" s="35" t="str">
        <x:v>063–082</x:v>
      </x:c>
      <x:c r="C5" s="35" t="str">
        <x:v>equipment-contact-04.png</x:v>
      </x:c>
      <x:c r="D5" s="35" t="str">
        <x:v>D:\Codex-2\work\CurrencyWarsAssistant-0.2.839-audit-20260808\audit\issues\ISSUE-015-equipment-icon-name-source-audit\visual-local\equipment-contact-04.png</x:v>
      </x:c>
      <x:c r="E5" s="35" t="str">
        <x:v>e7c6834449224b9ca9485e4f618a0754c72a6687df3aa89898b31a473c2d669b</x:v>
      </x:c>
      <x:c r="F5" s="35" t="str">
        <x:v>全部格位可见；无空白、透明损坏、异常裁切或相邻错位；同核心重复图标关系一致</x:v>
      </x:c>
      <x:c r="G5" s="35" t="str">
        <x:v>视觉结论仅为本地错配排查，不代替官方来源核验</x:v>
      </x:c>
    </x:row>
    <x:row r="6" ht="56" customHeight="1">
      <x:c r="A6" s="35" t="n">
        <x:v>5</x:v>
      </x:c>
      <x:c r="B6" s="35" t="str">
        <x:v>083–102</x:v>
      </x:c>
      <x:c r="C6" s="35" t="str">
        <x:v>equipment-contact-05.png</x:v>
      </x:c>
      <x:c r="D6" s="35" t="str">
        <x:v>D:\Codex-2\work\CurrencyWarsAssistant-0.2.839-audit-20260808\audit\issues\ISSUE-015-equipment-icon-name-source-audit\visual-local\equipment-contact-05.png</x:v>
      </x:c>
      <x:c r="E6" s="35" t="str">
        <x:v>632dd86106404f705fd6161ace9acbcc376740c707e9a2da3782bbecaa32da23</x:v>
      </x:c>
      <x:c r="F6" s="35" t="str">
        <x:v>全部格位可见；无空白、透明损坏、异常裁切或相邻错位；同核心重复图标关系一致</x:v>
      </x:c>
      <x:c r="G6" s="35" t="str">
        <x:v>视觉结论仅为本地错配排查，不代替官方来源核验</x:v>
      </x:c>
    </x:row>
    <x:row r="7" ht="56" customHeight="1">
      <x:c r="A7" s="35" t="n">
        <x:v>6</x:v>
      </x:c>
      <x:c r="B7" s="35" t="str">
        <x:v>103–122</x:v>
      </x:c>
      <x:c r="C7" s="35" t="str">
        <x:v>equipment-contact-06.png</x:v>
      </x:c>
      <x:c r="D7" s="35" t="str">
        <x:v>D:\Codex-2\work\CurrencyWarsAssistant-0.2.839-audit-20260808\audit\issues\ISSUE-015-equipment-icon-name-source-audit\visual-local\equipment-contact-06.png</x:v>
      </x:c>
      <x:c r="E7" s="35" t="str">
        <x:v>e9437f0ecb1d9944d4403c3d6734bd4a5758cbcee23ab5f9efc81b8e07b0c367</x:v>
      </x:c>
      <x:c r="F7" s="35" t="str">
        <x:v>全部格位可见；无空白、透明损坏、异常裁切或相邻错位；同核心重复图标关系一致</x:v>
      </x:c>
      <x:c r="G7" s="35" t="str">
        <x:v>视觉结论仅为本地错配排查，不代替官方来源核验</x:v>
      </x:c>
    </x:row>
    <x:row r="8" ht="56" customHeight="1">
      <x:c r="A8" s="35" t="n">
        <x:v>7</x:v>
      </x:c>
      <x:c r="B8" s="35" t="str">
        <x:v>123–142</x:v>
      </x:c>
      <x:c r="C8" s="35" t="str">
        <x:v>equipment-contact-07.png</x:v>
      </x:c>
      <x:c r="D8" s="35" t="str">
        <x:v>D:\Codex-2\work\CurrencyWarsAssistant-0.2.839-audit-20260808\audit\issues\ISSUE-015-equipment-icon-name-source-audit\visual-local\equipment-contact-07.png</x:v>
      </x:c>
      <x:c r="E8" s="35" t="str">
        <x:v>299d8053a80c9084d0570683e32179ed9f05aa43f6e27b974fd60ba382df10de</x:v>
      </x:c>
      <x:c r="F8" s="35" t="str">
        <x:v>全部格位可见；无空白、透明损坏、异常裁切或相邻错位；同核心重复图标关系一致</x:v>
      </x:c>
      <x:c r="G8" s="35" t="str">
        <x:v>抽象阵营/流派星徽仅凭图像不能证明官方中文名</x:v>
      </x:c>
    </x:row>
    <x:row r="9" ht="56" customHeight="1">
      <x:c r="A9" s="35" t="n">
        <x:v>8</x:v>
      </x:c>
      <x:c r="B9" s="35" t="str">
        <x:v>143–159</x:v>
      </x:c>
      <x:c r="C9" s="35" t="str">
        <x:v>equipment-contact-08.png</x:v>
      </x:c>
      <x:c r="D9" s="35" t="str">
        <x:v>D:\Codex-2\work\CurrencyWarsAssistant-0.2.839-audit-20260808\audit\issues\ISSUE-015-equipment-icon-name-source-audit\visual-local\equipment-contact-08.png</x:v>
      </x:c>
      <x:c r="E9" s="35" t="str">
        <x:v>bf102560929ef651efde9aadf8438897a695469e182cdc890feeaf3b6537d973</x:v>
      </x:c>
      <x:c r="F9" s="35" t="str">
        <x:v>全部格位可见；无空白、透明损坏、异常裁切或相邻错位；同核心重复图标关系一致</x:v>
      </x:c>
      <x:c r="G9" s="35" t="str">
        <x:v>星徽秘典无独立BWIKI详情页；只能判定图书形态与本地名称直观相符</x:v>
      </x:c>
    </x:row>
  </x:sheetData>
  <x:pageMargins left="0.7" right="0.7" top="0.75" bottom="0.75" header="0.3" footer="0.3"/>
  <x:tableParts count="1">
    <x:tablePart xmlns:r="http://schemas.openxmlformats.org/officeDocument/2006/relationships" r:id="Rb3c807b4b10f4e6b"/>
  </x:tableParts>
</x:worksheet>
</file>